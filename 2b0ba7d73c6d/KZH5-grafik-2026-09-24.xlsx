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Помощь" sheetId="1" state="visible" r:id="rId1"/>
    <sheet xmlns:r="http://schemas.openxmlformats.org/officeDocument/2006/relationships" name="График по датам" sheetId="2" state="visible" r:id="rId2"/>
    <sheet xmlns:r="http://schemas.openxmlformats.org/officeDocument/2006/relationships" name="Отчет о совместимости" sheetId="3" state="visible" r:id="rId3"/>
    <sheet xmlns:r="http://schemas.openxmlformats.org/officeDocument/2006/relationships" name="Отчет о совместимости (1)" sheetId="4" state="visible" r:id="rId4"/>
  </sheets>
  <definedNames>
    <definedName name="_xlfn_AGGREGATE" hidden="0" function="0" vbProcedure="0">#REF!</definedName>
    <definedName name="_xlnm.Print_Area" localSheetId="1">'График по датам'!$B$1:$BF$43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3">
    <numFmt numFmtId="164" formatCode="d/m/yy;@"/>
    <numFmt numFmtId="165" formatCode="mm/yy"/>
    <numFmt numFmtId="166" formatCode="d/m;@"/>
    <numFmt numFmtId="167" formatCode="[$-419]d\ mmm\ yy;@"/>
    <numFmt numFmtId="168" formatCode="_-* #,##0_-;\-* #,##0_-;_-* \-_-;_-@_-"/>
    <numFmt numFmtId="169" formatCode="_-* #,##0.00_-;\-* #,##0.00_-;_-* \-??_-;_-@_-"/>
    <numFmt numFmtId="170" formatCode="_-\Ј* #,##0_-;&quot;-Ј&quot;* #,##0_-;_-\Ј* \-_-;_-@_-"/>
    <numFmt numFmtId="171" formatCode="_-\Ј* #,##0.00_-;&quot;-Ј&quot;* #,##0.00_-;_-\Ј* \-??_-;_-@_-"/>
    <numFmt numFmtId="172" formatCode="_-* #,##0.00[$€-1]_-;\-* #,##0.00[$€-1]_-;_-* \-??[$€-1]_-"/>
    <numFmt numFmtId="173" formatCode="#,##0&quot; Kз&quot;;\-#,##0&quot; Kз&quot;"/>
    <numFmt numFmtId="174" formatCode="_-* #,##0.00_т_._-;\-* #,##0.00_т_._-;_-* \-??_т_._-;_-@_-"/>
    <numFmt numFmtId="175" formatCode="[$-419]mmm\.yy;@"/>
    <numFmt numFmtId="176" formatCode="0;-0;;@"/>
  </numFmts>
  <fonts count="21">
    <font>
      <name val="Arial Cyr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FFFFFF"/>
      <sz val="11"/>
    </font>
    <font>
      <name val="Arial"/>
      <family val="2"/>
      <sz val="10"/>
    </font>
    <font>
      <name val="Arial"/>
      <family val="2"/>
      <color rgb="FF0000FF"/>
      <sz val="10"/>
      <u val="single"/>
    </font>
    <font>
      <name val="Arial Cyr"/>
      <family val="0"/>
      <b val="1"/>
      <sz val="10"/>
    </font>
    <font>
      <name val="Arial Cyr"/>
      <family val="0"/>
      <color rgb="FF0000FF"/>
      <sz val="10"/>
    </font>
    <font>
      <name val="Arial"/>
      <charset val="204"/>
      <family val="2"/>
      <color rgb="FF0000FF"/>
      <sz val="10"/>
      <u val="single"/>
    </font>
    <font>
      <name val="Arial Cyr"/>
      <charset val="204"/>
      <family val="0"/>
      <color rgb="FF0000FF"/>
      <sz val="10"/>
      <u val="single"/>
    </font>
    <font>
      <name val="Arial Cyr"/>
      <family val="0"/>
      <color rgb="FF0000FF"/>
      <sz val="10"/>
      <u val="single"/>
    </font>
    <font>
      <name val="Arial Cyr"/>
      <family val="0"/>
      <color rgb="FFFF0000"/>
      <sz val="10"/>
    </font>
    <font>
      <name val="Arial Cyr"/>
      <family val="0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rgb="FF339966"/>
      <sz val="12"/>
    </font>
    <font>
      <name val="Arial Cyr"/>
      <family val="0"/>
      <color rgb="FF339966"/>
      <sz val="10"/>
    </font>
    <font>
      <name val="Times New Roman"/>
      <family val="1"/>
      <color rgb="FF000000"/>
      <sz val="12"/>
    </font>
    <font>
      <name val="Arial Cyr"/>
      <sz val="10"/>
    </font>
  </fonts>
  <fills count="18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</borders>
  <cellStyleXfs count="4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2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168" fontId="0" fillId="0" borderId="0"/>
    <xf numFmtId="169" fontId="0" fillId="0" borderId="0"/>
    <xf numFmtId="170" fontId="0" fillId="0" borderId="0"/>
    <xf numFmtId="171" fontId="0" fillId="0" borderId="0"/>
    <xf numFmtId="172" fontId="0" fillId="0" borderId="0"/>
    <xf numFmtId="0" fontId="6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7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3" fillId="0" borderId="0" applyAlignment="1">
      <alignment horizontal="general" vertical="bottom"/>
    </xf>
    <xf numFmtId="173" fontId="0" fillId="0" borderId="0"/>
    <xf numFmtId="174" fontId="0" fillId="0" borderId="0"/>
  </cellStyleXfs>
  <cellXfs count="1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top"/>
    </xf>
    <xf numFmtId="164" fontId="9" fillId="0" borderId="0" applyAlignment="1" pivotButton="0" quotePrefix="0" xfId="0">
      <alignment horizontal="left" vertical="top"/>
    </xf>
    <xf numFmtId="0" fontId="10" fillId="0" borderId="0" applyAlignment="1" pivotButton="0" quotePrefix="0" xfId="55">
      <alignment horizontal="general" vertical="top"/>
    </xf>
    <xf numFmtId="0" fontId="9" fillId="0" borderId="0" applyAlignment="1" pivotButton="0" quotePrefix="0" xfId="0">
      <alignment horizontal="general" vertical="top"/>
    </xf>
    <xf numFmtId="0" fontId="11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16" borderId="0" applyAlignment="1" pivotButton="0" quotePrefix="0" xfId="0">
      <alignment horizontal="general" vertical="top"/>
    </xf>
    <xf numFmtId="0" fontId="13" fillId="0" borderId="0" applyAlignment="1" pivotButton="0" quotePrefix="0" xfId="0">
      <alignment horizontal="general" vertical="top"/>
    </xf>
    <xf numFmtId="0" fontId="8" fillId="6" borderId="1" applyAlignment="1" pivotButton="0" quotePrefix="0" xfId="57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6" fontId="13" fillId="0" borderId="1" applyAlignment="1" pivotButton="0" quotePrefix="0" xfId="0">
      <alignment horizontal="center" vertical="center" textRotation="90" wrapText="1"/>
    </xf>
    <xf numFmtId="166" fontId="0" fillId="0" borderId="1" applyAlignment="1" pivotButton="0" quotePrefix="0" xfId="0">
      <alignment horizontal="center" vertical="center" textRotation="90" wrapText="1"/>
    </xf>
    <xf numFmtId="0" fontId="14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general" vertical="top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top"/>
    </xf>
    <xf numFmtId="0" fontId="16" fillId="0" borderId="0" applyAlignment="1" pivotButton="0" quotePrefix="0" xfId="0">
      <alignment horizontal="general" vertical="top"/>
    </xf>
    <xf numFmtId="0" fontId="15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top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57">
      <alignment horizontal="center" vertical="center" wrapText="1"/>
    </xf>
    <xf numFmtId="165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textRotation="90" wrapText="1"/>
    </xf>
    <xf numFmtId="0" fontId="16" fillId="0" borderId="1" applyAlignment="1" pivotButton="0" quotePrefix="0" xfId="0">
      <alignment horizontal="left" vertical="center" wrapText="1"/>
    </xf>
    <xf numFmtId="167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general" vertical="center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167" fontId="16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3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general" vertical="center"/>
    </xf>
    <xf numFmtId="0" fontId="16" fillId="0" borderId="1" applyAlignment="1" pivotButton="0" quotePrefix="0" xfId="0">
      <alignment horizontal="center" vertical="center"/>
    </xf>
    <xf numFmtId="1" fontId="1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general" vertical="center"/>
    </xf>
    <xf numFmtId="49" fontId="19" fillId="0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general" vertical="center"/>
    </xf>
    <xf numFmtId="0" fontId="16" fillId="0" borderId="0" applyAlignment="1" pivotButton="0" quotePrefix="0" xfId="0">
      <alignment horizontal="center" vertical="center"/>
    </xf>
    <xf numFmtId="3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center" vertical="center"/>
    </xf>
    <xf numFmtId="167" fontId="16" fillId="0" borderId="1" applyAlignment="1" pivotButton="0" quotePrefix="0" xfId="0">
      <alignment horizontal="right" vertical="center"/>
    </xf>
    <xf numFmtId="3" fontId="16" fillId="0" borderId="1" applyAlignment="1" pivotButton="0" quotePrefix="0" xfId="0">
      <alignment horizontal="center" vertical="center" wrapText="1"/>
    </xf>
    <xf numFmtId="1" fontId="1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7" fontId="16" fillId="0" borderId="3" applyAlignment="1" pivotButton="0" quotePrefix="0" xfId="0">
      <alignment horizontal="right" vertical="center"/>
    </xf>
    <xf numFmtId="1" fontId="16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top"/>
    </xf>
    <xf numFmtId="49" fontId="19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general" vertical="top"/>
    </xf>
    <xf numFmtId="0" fontId="16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general" vertical="top" wrapText="1"/>
    </xf>
    <xf numFmtId="0" fontId="0" fillId="0" borderId="6" applyAlignment="1" pivotButton="0" quotePrefix="0" xfId="0">
      <alignment horizontal="general" vertical="top" wrapText="1"/>
    </xf>
    <xf numFmtId="0" fontId="0" fillId="0" borderId="6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8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top"/>
    </xf>
    <xf numFmtId="164" fontId="9" fillId="0" borderId="0" applyAlignment="1" pivotButton="0" quotePrefix="0" xfId="0">
      <alignment horizontal="left" vertical="top"/>
    </xf>
    <xf numFmtId="0" fontId="10" fillId="0" borderId="0" applyAlignment="1" pivotButton="0" quotePrefix="0" xfId="55">
      <alignment horizontal="general" vertical="top"/>
    </xf>
    <xf numFmtId="0" fontId="9" fillId="0" borderId="0" applyAlignment="1" pivotButton="0" quotePrefix="0" xfId="0">
      <alignment horizontal="general" vertical="top"/>
    </xf>
    <xf numFmtId="0" fontId="11" fillId="0" borderId="0" applyAlignment="1" pivotButton="0" quotePrefix="0" xfId="20">
      <alignment horizontal="general" vertical="bottom"/>
    </xf>
    <xf numFmtId="0" fontId="0" fillId="16" borderId="0" applyAlignment="1" pivotButton="0" quotePrefix="0" xfId="0">
      <alignment horizontal="general" vertical="top"/>
    </xf>
    <xf numFmtId="0" fontId="13" fillId="0" borderId="0" applyAlignment="1" pivotButton="0" quotePrefix="0" xfId="0">
      <alignment horizontal="general" vertical="top"/>
    </xf>
    <xf numFmtId="0" fontId="8" fillId="6" borderId="1" applyAlignment="1" pivotButton="0" quotePrefix="0" xfId="57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4" pivotButton="0" quotePrefix="0" xfId="0"/>
    <xf numFmtId="165" fontId="0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166" fontId="13" fillId="0" borderId="1" applyAlignment="1" pivotButton="0" quotePrefix="0" xfId="0">
      <alignment horizontal="center" vertical="center" textRotation="90" wrapText="1"/>
    </xf>
    <xf numFmtId="166" fontId="0" fillId="0" borderId="1" applyAlignment="1" pivotButton="0" quotePrefix="0" xfId="0">
      <alignment horizontal="center" vertical="center" textRotation="90" wrapText="1"/>
    </xf>
    <xf numFmtId="0" fontId="14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general" vertical="top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top"/>
    </xf>
    <xf numFmtId="0" fontId="16" fillId="0" borderId="0" applyAlignment="1" pivotButton="0" quotePrefix="0" xfId="0">
      <alignment horizontal="general" vertical="top"/>
    </xf>
    <xf numFmtId="0" fontId="15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0" fillId="0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57">
      <alignment horizontal="center" vertical="center" wrapText="1"/>
    </xf>
    <xf numFmtId="175" fontId="16" fillId="0" borderId="1" applyAlignment="1" pivotButton="0" quotePrefix="0" xfId="0">
      <alignment horizontal="center" vertical="center" wrapText="1"/>
    </xf>
    <xf numFmtId="175" fontId="0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textRotation="90" wrapText="1"/>
    </xf>
    <xf numFmtId="0" fontId="16" fillId="0" borderId="1" applyAlignment="1" pivotButton="0" quotePrefix="0" xfId="0">
      <alignment horizontal="left" vertical="center" wrapText="1"/>
    </xf>
    <xf numFmtId="167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general" vertical="center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167" fontId="16" fillId="0" borderId="1" applyAlignment="1" pivotButton="0" quotePrefix="0" xfId="0">
      <alignment horizontal="center" vertical="center"/>
    </xf>
    <xf numFmtId="176" fontId="17" fillId="0" borderId="1" applyAlignment="1" pivotButton="0" quotePrefix="0" xfId="0">
      <alignment horizontal="general" vertical="center"/>
    </xf>
    <xf numFmtId="176" fontId="17" fillId="0" borderId="1" applyAlignment="1" pivotButton="0" quotePrefix="0" xfId="0">
      <alignment horizontal="center" vertical="center" wrapText="1"/>
    </xf>
    <xf numFmtId="176" fontId="18" fillId="0" borderId="1" applyAlignment="1" pivotButton="0" quotePrefix="0" xfId="0">
      <alignment horizontal="center" vertical="center" wrapText="1"/>
    </xf>
    <xf numFmtId="176" fontId="0" fillId="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3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general" vertical="center"/>
    </xf>
    <xf numFmtId="1" fontId="16" fillId="0" borderId="1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 wrapText="1"/>
    </xf>
    <xf numFmtId="176" fontId="17" fillId="17" borderId="1" applyAlignment="1" pivotButton="0" quotePrefix="0" xfId="0">
      <alignment horizontal="general" vertical="center"/>
    </xf>
    <xf numFmtId="176" fontId="16" fillId="0" borderId="1" applyAlignment="1" pivotButton="0" quotePrefix="0" xfId="0">
      <alignment horizontal="center" vertical="center" textRotation="90" wrapText="1"/>
    </xf>
    <xf numFmtId="49" fontId="19" fillId="0" borderId="1" applyAlignment="1" pivotButton="0" quotePrefix="0" xfId="0">
      <alignment horizontal="left" vertical="center" wrapText="1"/>
    </xf>
    <xf numFmtId="176" fontId="17" fillId="16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 wrapText="1"/>
    </xf>
    <xf numFmtId="3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center"/>
    </xf>
    <xf numFmtId="167" fontId="16" fillId="0" borderId="1" applyAlignment="1" pivotButton="0" quotePrefix="0" xfId="0">
      <alignment horizontal="right" vertical="center"/>
    </xf>
    <xf numFmtId="176" fontId="0" fillId="0" borderId="0" pivotButton="0" quotePrefix="0" xfId="0"/>
    <xf numFmtId="167" fontId="16" fillId="0" borderId="3" applyAlignment="1" pivotButton="0" quotePrefix="0" xfId="0">
      <alignment horizontal="right" vertical="center"/>
    </xf>
    <xf numFmtId="1" fontId="16" fillId="0" borderId="3" applyAlignment="1" pivotButton="0" quotePrefix="0" xfId="0">
      <alignment horizontal="center" vertical="center"/>
    </xf>
    <xf numFmtId="176" fontId="0" fillId="0" borderId="4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top"/>
    </xf>
    <xf numFmtId="49" fontId="1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general" vertical="top" wrapText="1"/>
    </xf>
    <xf numFmtId="0" fontId="0" fillId="0" borderId="6" applyAlignment="1" pivotButton="0" quotePrefix="0" xfId="0">
      <alignment horizontal="general" vertical="top" wrapText="1"/>
    </xf>
    <xf numFmtId="0" fontId="0" fillId="0" borderId="6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</cellXfs>
  <cellStyles count="4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20% - Акцент1" xfId="7"/>
    <cellStyle name="20% - Акцент2" xfId="8"/>
    <cellStyle name="20% - Акцент3" xfId="9"/>
    <cellStyle name="20% - Акцент4" xfId="10"/>
    <cellStyle name="20% - Акцент5" xfId="11"/>
    <cellStyle name="20% - Акцент6" xfId="12"/>
    <cellStyle name="40% - Акцент1" xfId="13"/>
    <cellStyle name="40% - Акцент2" xfId="14"/>
    <cellStyle name="40% - Акцент3" xfId="15"/>
    <cellStyle name="40% - Акцент4" xfId="16"/>
    <cellStyle name="40% - Акцент5" xfId="17"/>
    <cellStyle name="40% - Акцент6" xfId="18"/>
    <cellStyle name="60% - Акцент1" xfId="19"/>
    <cellStyle name="60% - Акцент2" xfId="20"/>
    <cellStyle name="60% - Акцент3" xfId="21"/>
    <cellStyle name="60% - Акцент4" xfId="22"/>
    <cellStyle name="60% - Акцент5" xfId="23"/>
    <cellStyle name="60% - Акцент6" xfId="24"/>
    <cellStyle name="_Заявка на согласование цен на материалы" xfId="25"/>
    <cellStyle name="_Смета и План АЗ РВСП-30000м3 ЛПДС Староликеево" xfId="26"/>
    <cellStyle name="_Смета изоляция емкостей" xfId="27"/>
    <cellStyle name="_Смета на еще 3 РВС в Приморске (КХМовские)" xfId="28"/>
    <cellStyle name="_Сметы к договору КХМ на Сахалин II  2 февраля" xfId="29"/>
    <cellStyle name="_Сметы на Сахалин II 18 февраля без понтона (окончат)" xfId="30"/>
    <cellStyle name="_Сметы по ТИ РВС-10000 РВС-20000 М-НН2" xfId="31"/>
    <cellStyle name="_Теплоизоляция трубопроводов и резервуаров Анвеке" xfId="32"/>
    <cellStyle name="_Теплоизоляция трубопроводов на НПС Горький" xfId="33"/>
    <cellStyle name="Comma [0]_irl tel sep5" xfId="34"/>
    <cellStyle name="Comma_irl tel sep5" xfId="35"/>
    <cellStyle name="Currency [0]_irl tel sep5" xfId="36"/>
    <cellStyle name="Currency_irl tel sep5" xfId="37"/>
    <cellStyle name="Euro" xfId="38"/>
    <cellStyle name="Normal_irl tel sep5" xfId="39"/>
    <cellStyle name="normбlnм_laroux" xfId="40"/>
    <cellStyle name="Гиперссылка_Расчёт объёмов работ по АЗ ред.3" xfId="41"/>
    <cellStyle name="Обычный 2" xfId="42"/>
    <cellStyle name="Обычный_Календарный график производства работ Корпус 422" xfId="43"/>
    <cellStyle name="Стиль 1" xfId="44"/>
    <cellStyle name="Тысячи [0]_PR_KOMPL" xfId="45"/>
    <cellStyle name="Тысячи_Диалог Накладная" xfId="46"/>
  </cellStyles>
  <dxfs count="2">
    <dxf>
      <font>
        <name val="Arial Cyr"/>
        <family val="0"/>
        <color rgb="00FFFFFF"/>
      </font>
      <fill>
        <patternFill>
          <bgColor rgb="FF969696"/>
        </patternFill>
      </fill>
    </dxf>
    <dxf>
      <font>
        <name val="Arial Cyr"/>
        <family val="0"/>
        <color rgb="00FFFFFF"/>
      </font>
      <fill>
        <patternFill>
          <bgColor rgb="FF96969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johntokarev@mail.ru" TargetMode="External" Id="rId1"/><Relationship Type="http://schemas.openxmlformats.org/officeDocument/2006/relationships/hyperlink" Target="http://beam.ucoz.org/" TargetMode="External" Id="rId2"/><Relationship Type="http://schemas.openxmlformats.org/officeDocument/2006/relationships/hyperlink" Target="http://beamcalc.ru/" TargetMode="External" Id="rId3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L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28125" defaultRowHeight="12.75" customHeight="0" zeroHeight="0" outlineLevelRow="0"/>
  <cols>
    <col width="13.99" customWidth="1" style="73" min="1" max="1"/>
    <col width="8.85" customWidth="1" style="73" min="2" max="2"/>
    <col width="8.56" customWidth="1" style="73" min="3" max="4"/>
    <col width="4.13" customWidth="1" style="73" min="5" max="12"/>
    <col width="9.130000000000001" customWidth="1" style="73" min="13" max="257"/>
  </cols>
  <sheetData>
    <row r="1" ht="12.75" customHeight="1" s="74">
      <c r="A1" s="75" t="inlineStr">
        <is>
          <t>Календарный график</t>
        </is>
      </c>
    </row>
    <row r="2" ht="12.75" customHeight="1" s="74">
      <c r="A2" s="73" t="inlineStr">
        <is>
          <t>Версия</t>
        </is>
      </c>
      <c r="B2" s="76" t="n">
        <v>1</v>
      </c>
      <c r="E2" s="77" t="inlineStr">
        <is>
          <t>Автор</t>
        </is>
      </c>
      <c r="F2" s="73" t="inlineStr">
        <is>
          <t>Токарев Евгений</t>
        </is>
      </c>
    </row>
    <row r="3" ht="12.75" customHeight="1" s="74">
      <c r="A3" s="73" t="inlineStr">
        <is>
          <t>Дата создания</t>
        </is>
      </c>
      <c r="B3" s="78" t="n">
        <v>40539</v>
      </c>
      <c r="E3" s="77" t="inlineStr">
        <is>
          <t>E-mail</t>
        </is>
      </c>
      <c r="F3" s="79" t="inlineStr">
        <is>
          <t>johntokarev@mail.ru</t>
        </is>
      </c>
    </row>
    <row r="4" ht="12.75" customHeight="1" s="74">
      <c r="A4" s="73" t="inlineStr">
        <is>
          <t>Организация:</t>
        </is>
      </c>
      <c r="B4" s="80" t="inlineStr">
        <is>
          <t>ООО "Роскомстрой"</t>
        </is>
      </c>
      <c r="E4" s="77" t="inlineStr">
        <is>
          <t>www</t>
        </is>
      </c>
      <c r="F4" s="79" t="inlineStr">
        <is>
          <t>http://beam.ucoz.org</t>
        </is>
      </c>
      <c r="K4" s="81" t="inlineStr">
        <is>
          <t>http://beamcalc.ru</t>
        </is>
      </c>
    </row>
    <row r="5"/>
    <row r="6" ht="12.75" customHeight="1" s="74">
      <c r="A6" s="75" t="inlineStr">
        <is>
          <t>Описание</t>
        </is>
      </c>
    </row>
    <row r="7" ht="12.75" customHeight="1" s="74">
      <c r="A7" s="73" t="inlineStr">
        <is>
          <t>Лист в MS Excel для создания и оформления календарных графиков с подсчетом продолжительности работ и потребности в рабочих кадрах.</t>
        </is>
      </c>
    </row>
    <row r="8" ht="12.75" customHeight="1" s="74">
      <c r="A8" s="73" t="inlineStr">
        <is>
          <t>Достоинством данного графика является автоматическое "построение" полосок и заполнение количества рабочих для каждого вида работ.</t>
        </is>
      </c>
    </row>
    <row r="9" ht="12.75" customHeight="1" s="74">
      <c r="A9" s="73" t="inlineStr">
        <is>
          <t>В книге не использованы макросы, все сделано только при помощи формул</t>
        </is>
      </c>
    </row>
    <row r="10"/>
    <row r="11" ht="12.75" customHeight="1" s="74">
      <c r="A11" s="75" t="inlineStr">
        <is>
          <t>Условные обозначения и принятые умолчания</t>
        </is>
      </c>
    </row>
    <row r="12" ht="12.75" customHeight="1" s="74">
      <c r="A12" s="80" t="inlineStr">
        <is>
          <t>синий цвет текста</t>
        </is>
      </c>
      <c r="C12" s="73" t="inlineStr">
        <is>
          <t>исходные данные</t>
        </is>
      </c>
    </row>
    <row r="13" ht="12.75" customHeight="1" s="74">
      <c r="A13" s="73" t="inlineStr">
        <is>
          <t>черный цвет текста</t>
        </is>
      </c>
      <c r="C13" s="73" t="inlineStr">
        <is>
          <t>вычисляемые значения</t>
        </is>
      </c>
    </row>
    <row r="14" ht="12.75" customHeight="1" s="74">
      <c r="A14" s="82" t="inlineStr">
        <is>
          <t>серый фон</t>
        </is>
      </c>
      <c r="C14" s="73" t="inlineStr">
        <is>
          <t>шапки таблиц</t>
        </is>
      </c>
    </row>
    <row r="15" ht="12.75" customHeight="1" s="74">
      <c r="A15" s="75" t="inlineStr">
        <is>
          <t>жирный текст</t>
        </is>
      </c>
      <c r="C15" s="73" t="inlineStr">
        <is>
          <t>заголовки</t>
        </is>
      </c>
    </row>
    <row r="16"/>
    <row r="17" ht="12.75" customHeight="1" s="74">
      <c r="A17" s="75" t="inlineStr">
        <is>
          <t>Важно</t>
        </is>
      </c>
    </row>
    <row r="18" ht="12.75" customHeight="1" s="74">
      <c r="A18" s="73" t="inlineStr">
        <is>
          <t>График строится на основании четырех столбцов, представленных ниже, а именно:</t>
        </is>
      </c>
    </row>
    <row r="19" ht="12.75" customHeight="1" s="74">
      <c r="D19" s="83" t="n">
        <v>2</v>
      </c>
      <c r="E19" s="73" t="inlineStr">
        <is>
          <t>шаг</t>
        </is>
      </c>
    </row>
    <row r="20" ht="12.75" customHeight="1" s="74">
      <c r="A20" s="84" t="inlineStr">
        <is>
          <t>Числен- ность рабочих в смену</t>
        </is>
      </c>
      <c r="B20" s="85" t="inlineStr">
        <is>
          <t>Срок</t>
        </is>
      </c>
      <c r="C20" s="86" t="n"/>
      <c r="D20" s="87" t="n"/>
      <c r="E20" s="88">
        <f>(E22+F22+G22+H22)/4</f>
        <v/>
      </c>
      <c r="F20" s="86" t="n"/>
      <c r="G20" s="86" t="n"/>
      <c r="H20" s="87" t="n"/>
      <c r="I20" s="88">
        <f>(I22+J22+K22+L22)/4</f>
        <v/>
      </c>
      <c r="J20" s="86" t="n"/>
      <c r="K20" s="86" t="n"/>
      <c r="L20" s="87" t="n"/>
    </row>
    <row r="21" ht="12.75" customHeight="1" s="74">
      <c r="A21" s="89" t="n"/>
      <c r="B21" s="85" t="inlineStr">
        <is>
          <t>Нач.</t>
        </is>
      </c>
      <c r="C21" s="85" t="inlineStr">
        <is>
          <t>Длит.</t>
        </is>
      </c>
      <c r="D21" s="85" t="inlineStr">
        <is>
          <t>Оконч.</t>
        </is>
      </c>
      <c r="E21" s="90">
        <f>LOOKUP(WEEKDAY(E22,2),{1,2,3,4,5,6,7},{"пн","вт","ср","чт","пт","сб","вс"})</f>
        <v/>
      </c>
      <c r="F21" s="90">
        <f>LOOKUP(WEEKDAY(F22,2),{1,2,3,4,5,6,7},{"пн","вт","ср","чт","пт","сб","вс"})</f>
        <v/>
      </c>
      <c r="G21" s="90">
        <f>LOOKUP(WEEKDAY(G22,2),{1,2,3,4,5,6,7},{"пн","вт","ср","чт","пт","сб","вс"})</f>
        <v/>
      </c>
      <c r="H21" s="90">
        <f>LOOKUP(WEEKDAY(H22,2),{1,2,3,4,5,6,7},{"пн","вт","ср","чт","пт","сб","вс"})</f>
        <v/>
      </c>
      <c r="I21" s="90">
        <f>LOOKUP(WEEKDAY(I22,2),{1,2,3,4,5,6,7},{"пн","вт","ср","чт","пт","сб","вс"})</f>
        <v/>
      </c>
      <c r="J21" s="90">
        <f>LOOKUP(WEEKDAY(J22,2),{1,2,3,4,5,6,7},{"пн","вт","ср","чт","пт","сб","вс"})</f>
        <v/>
      </c>
      <c r="K21" s="90">
        <f>LOOKUP(WEEKDAY(K22,2),{1,2,3,4,5,6,7},{"пн","вт","ср","чт","пт","сб","вс"})</f>
        <v/>
      </c>
      <c r="L21" s="90">
        <f>LOOKUP(WEEKDAY(L22,2),{1,2,3,4,5,6,7},{"пн","вт","ср","чт","пт","сб","вс"})</f>
        <v/>
      </c>
    </row>
    <row r="22" ht="24" customHeight="1" s="74">
      <c r="A22" s="91" t="n"/>
      <c r="B22" s="91" t="n"/>
      <c r="C22" s="91" t="n"/>
      <c r="D22" s="91" t="n"/>
      <c r="E22" s="92" t="n">
        <v>40634</v>
      </c>
      <c r="F22" s="93">
        <f>E22+$D19</f>
        <v/>
      </c>
      <c r="G22" s="93">
        <f>F22+$D19</f>
        <v/>
      </c>
      <c r="H22" s="93">
        <f>G22+$D19</f>
        <v/>
      </c>
      <c r="I22" s="93">
        <f>H22+$D19</f>
        <v/>
      </c>
      <c r="J22" s="93">
        <f>I22+$D19</f>
        <v/>
      </c>
      <c r="K22" s="93">
        <f>J22+$D19</f>
        <v/>
      </c>
      <c r="L22" s="93">
        <f>K22+$D19</f>
        <v/>
      </c>
    </row>
    <row r="24" ht="12.75" customHeight="1" s="74">
      <c r="A24" s="73" t="inlineStr">
        <is>
          <t>1. Численность рабочих в смену</t>
        </is>
      </c>
    </row>
    <row r="25" ht="12.75" customHeight="1" s="74">
      <c r="A25" s="73" t="inlineStr">
        <is>
          <t>2. Дата Начала</t>
        </is>
      </c>
    </row>
    <row r="26" ht="12.75" customHeight="1" s="74">
      <c r="A26" s="73" t="inlineStr">
        <is>
          <t>3. Длительность (дни)</t>
        </is>
      </c>
    </row>
    <row r="27" ht="12.75" customHeight="1" s="74">
      <c r="A27" s="73" t="inlineStr">
        <is>
          <t>4. Дата окончания</t>
        </is>
      </c>
    </row>
    <row r="29" ht="12.75" customHeight="1" s="74">
      <c r="A29" s="73" t="inlineStr">
        <is>
          <t>Также указывается начальная дата (в данном случае 1 апреля 2010г) и шаг ячейки (в данном случае 10 дней)</t>
        </is>
      </c>
    </row>
    <row r="30" ht="12.75" customHeight="1" s="74">
      <c r="A30" s="73" t="inlineStr">
        <is>
          <t>Дни недели и месяцы ставятся автоматически</t>
        </is>
      </c>
    </row>
  </sheetData>
  <mergeCells count="7">
    <mergeCell ref="A20:A22"/>
    <mergeCell ref="E20:H20"/>
    <mergeCell ref="C21:C22"/>
    <mergeCell ref="I20:L20"/>
    <mergeCell ref="D21:D22"/>
    <mergeCell ref="B21:B22"/>
    <mergeCell ref="B20:D20"/>
  </mergeCells>
  <hyperlinks>
    <hyperlink xmlns:r="http://schemas.openxmlformats.org/officeDocument/2006/relationships" ref="F3" display="johntokarev@mail.ru" r:id="rId1"/>
    <hyperlink xmlns:r="http://schemas.openxmlformats.org/officeDocument/2006/relationships" ref="F4" display="http://beam.ucoz.org" r:id="rId2"/>
    <hyperlink xmlns:r="http://schemas.openxmlformats.org/officeDocument/2006/relationships" ref="K4" display="http://beamcalc.ru" r:id="rId3"/>
  </hyperlinks>
  <printOptions horizontalCentered="0" verticalCentered="0" headings="0" gridLines="0" gridLinesSet="1"/>
  <pageMargins left="0.429861111111111" right="0.279861111111111" top="0.170138888888889" bottom="0.1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CC99"/>
    <outlinePr summaryBelow="1" summaryRight="1"/>
    <pageSetUpPr fitToPage="1"/>
  </sheetPr>
  <dimension ref="A1:IW47"/>
  <sheetViews>
    <sheetView showFormulas="0" showGridLines="1" showRowColHeaders="1" showZeros="1" rightToLeft="0" tabSelected="1" showOutlineSymbols="1" defaultGridColor="1" view="normal" topLeftCell="B1" colorId="64" zoomScale="130" zoomScaleNormal="130" zoomScalePageLayoutView="80" workbookViewId="0">
      <selection pane="topLeft" activeCell="C7" activeCellId="0" sqref="C7:C39"/>
    </sheetView>
  </sheetViews>
  <sheetFormatPr baseColWidth="8" defaultColWidth="9.1328125" defaultRowHeight="15" customHeight="0" zeroHeight="0" outlineLevelRow="0"/>
  <cols>
    <col hidden="1" width="6.28" customWidth="1" style="73" min="1" max="1"/>
    <col width="5.56" customWidth="1" style="94" min="2" max="2"/>
    <col width="84.84999999999999" customWidth="1" style="95" min="3" max="3"/>
    <col hidden="1" width="5.85" customWidth="1" style="95" min="4" max="4"/>
    <col hidden="1" width="7.7" customWidth="1" style="95" min="5" max="5"/>
    <col hidden="1" width="14.7" customWidth="1" style="95" min="6" max="6"/>
    <col hidden="1" width="4.85" customWidth="1" style="95" min="7" max="7"/>
    <col hidden="1" width="12.99" customWidth="1" style="95" min="8" max="8"/>
    <col hidden="1" width="5.28" customWidth="1" style="95" min="9" max="9"/>
    <col hidden="1" width="5.7" customWidth="1" style="95" min="10" max="10"/>
    <col hidden="1" width="30.7" customWidth="1" style="95" min="11" max="11"/>
    <col width="11.7" customWidth="1" style="95" min="12" max="12"/>
    <col width="6.85" customWidth="1" style="95" min="13" max="13"/>
    <col width="11.28" customWidth="1" style="95" min="14" max="14"/>
    <col width="4" customWidth="1" style="95" min="15" max="42"/>
    <col width="4" customWidth="1" style="73" min="43" max="59"/>
    <col hidden="1" width="4" customWidth="1" style="73" min="60" max="73"/>
    <col hidden="1" width="4" customWidth="1" style="73" min="74" max="74"/>
    <col hidden="1" width="4" customWidth="1" style="73" min="75" max="75"/>
    <col hidden="1" width="4" customWidth="1" style="73" min="76" max="76"/>
    <col hidden="1" width="4" customWidth="1" style="73" min="77" max="79"/>
    <col hidden="1" width="2.42" customWidth="1" style="73" min="80" max="80"/>
    <col hidden="1" width="2.28" customWidth="1" style="73" min="81" max="81"/>
    <col hidden="1" width="3.28" customWidth="1" style="73" min="82" max="82"/>
    <col width="3.28" customWidth="1" style="73" min="83" max="83"/>
    <col width="4.28" customWidth="1" style="73" min="84" max="85"/>
    <col width="6.28" customWidth="1" style="73" min="86" max="86"/>
    <col width="9.130000000000001" customWidth="1" style="73" min="87" max="257"/>
  </cols>
  <sheetData>
    <row r="1" ht="21" customHeight="1" s="74">
      <c r="B1" s="96" t="inlineStr">
        <is>
          <t>ГРАФИК КЖ 5 этап</t>
        </is>
      </c>
      <c r="N1" s="97" t="inlineStr">
        <is>
          <t>шаг:</t>
        </is>
      </c>
      <c r="O1" s="98" t="n">
        <v>1</v>
      </c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98" t="n"/>
      <c r="AG1" s="98" t="n"/>
      <c r="AH1" s="98" t="n"/>
      <c r="AI1" s="98" t="n"/>
      <c r="AJ1" s="98" t="n"/>
      <c r="AK1" s="98" t="n"/>
      <c r="AL1" s="98" t="n"/>
      <c r="AM1" s="98" t="n"/>
      <c r="AN1" s="98" t="n"/>
      <c r="AO1" s="98" t="n"/>
      <c r="AP1" s="98" t="n"/>
      <c r="AQ1" s="98" t="n"/>
      <c r="AR1" s="98" t="n"/>
      <c r="AS1" s="98" t="n"/>
      <c r="AT1" s="98" t="n"/>
      <c r="AU1" s="98" t="n"/>
      <c r="AV1" s="98" t="n"/>
      <c r="AW1" s="98" t="n"/>
      <c r="AX1" s="98" t="n"/>
    </row>
    <row r="2" ht="36.75" customHeight="1" s="74">
      <c r="B2" s="99" t="inlineStr">
        <is>
          <t>Объект, расположенного по адресу: 620007, г. Екатеринбург, пер. Слободской, 40</t>
        </is>
      </c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1" t="inlineStr">
        <is>
          <t>Актуализировано: 24.09.2026</t>
        </is>
      </c>
      <c r="P2" s="98" t="n"/>
      <c r="Q2" s="98" t="n"/>
      <c r="R2" s="98" t="n"/>
      <c r="S2" s="98" t="n"/>
      <c r="T2" s="98" t="n"/>
      <c r="U2" s="98" t="n"/>
      <c r="V2" s="98" t="n"/>
      <c r="W2" s="98" t="n"/>
      <c r="X2" s="98" t="n"/>
      <c r="Y2" s="98" t="n"/>
      <c r="Z2" s="98" t="n"/>
      <c r="AA2" s="98" t="n"/>
      <c r="AB2" s="98" t="n"/>
      <c r="AC2" s="98" t="n"/>
      <c r="AD2" s="98" t="n"/>
      <c r="AE2" s="98" t="n"/>
      <c r="AF2" s="98" t="n"/>
      <c r="AG2" s="98" t="n"/>
      <c r="AH2" s="98" t="n"/>
      <c r="AI2" s="98" t="n"/>
      <c r="AJ2" s="98" t="n"/>
      <c r="AK2" s="98" t="n"/>
      <c r="AL2" s="98" t="n"/>
      <c r="AM2" s="98" t="n"/>
      <c r="AN2" s="98" t="n"/>
      <c r="AO2" s="98" t="n"/>
      <c r="AP2" s="98" t="n"/>
      <c r="AQ2" s="98" t="n"/>
      <c r="AR2" s="98" t="n"/>
      <c r="AS2" s="98" t="n"/>
      <c r="AT2" s="98" t="n"/>
      <c r="AU2" s="98" t="n"/>
      <c r="AV2" s="98" t="n"/>
      <c r="AW2" s="98" t="n"/>
      <c r="AX2" s="98" t="n"/>
      <c r="BW2" s="73" t="n"/>
      <c r="BX2" s="73" t="n"/>
      <c r="BY2" s="73" t="n"/>
      <c r="BZ2" s="73" t="n"/>
      <c r="CA2" s="73" t="n"/>
      <c r="CB2" s="73" t="n"/>
      <c r="CC2" s="73" t="n"/>
      <c r="CD2" s="73" t="n"/>
      <c r="CE2" s="73" t="n"/>
    </row>
    <row r="3" ht="12.75" customHeight="1" s="74">
      <c r="A3" s="102" t="inlineStr">
        <is>
          <t>№ п/п</t>
        </is>
      </c>
      <c r="B3" s="102" t="inlineStr">
        <is>
          <t>№ п/п</t>
        </is>
      </c>
      <c r="C3" s="102" t="inlineStr">
        <is>
          <t>Номер захватки</t>
        </is>
      </c>
      <c r="D3" s="102" t="inlineStr">
        <is>
          <t>Ед. изм.</t>
        </is>
      </c>
      <c r="E3" s="102" t="inlineStr">
        <is>
          <t>Кол-во</t>
        </is>
      </c>
      <c r="F3" s="102" t="inlineStr">
        <is>
          <t>Оборуд</t>
        </is>
      </c>
      <c r="G3" s="86" t="n"/>
      <c r="H3" s="86" t="n"/>
      <c r="I3" s="86" t="n"/>
      <c r="J3" s="87" t="n"/>
      <c r="K3" s="103" t="inlineStr">
        <is>
          <t>Числен- ность рабочих в смену</t>
        </is>
      </c>
      <c r="L3" s="102" t="inlineStr">
        <is>
          <t>Срок</t>
        </is>
      </c>
      <c r="M3" s="86" t="n"/>
      <c r="N3" s="87" t="n"/>
      <c r="O3" s="104">
        <f>(O5+P5+Q5+R5)/4</f>
        <v/>
      </c>
      <c r="P3" s="86" t="n"/>
      <c r="Q3" s="86" t="n"/>
      <c r="R3" s="87" t="n"/>
      <c r="S3" s="104">
        <f>(S5+T5+U5+V5)/4</f>
        <v/>
      </c>
      <c r="T3" s="86" t="n"/>
      <c r="U3" s="86" t="n"/>
      <c r="V3" s="87" t="n"/>
      <c r="W3" s="104">
        <f>(W5+X5+Y5+Z5)/4</f>
        <v/>
      </c>
      <c r="X3" s="86" t="n"/>
      <c r="Y3" s="86" t="n"/>
      <c r="Z3" s="87" t="n"/>
      <c r="AA3" s="104">
        <f>(AA5+AB5+AC5+AD5)/4</f>
        <v/>
      </c>
      <c r="AB3" s="86" t="n"/>
      <c r="AC3" s="86" t="n"/>
      <c r="AD3" s="87" t="n"/>
      <c r="AE3" s="104">
        <f>(AE5+AF5+AG5+AH5)/4</f>
        <v/>
      </c>
      <c r="AF3" s="86" t="n"/>
      <c r="AG3" s="86" t="n"/>
      <c r="AH3" s="87" t="n"/>
      <c r="AI3" s="104">
        <f>(AI5+AJ5+AK5+AL5)/4</f>
        <v/>
      </c>
      <c r="AJ3" s="86" t="n"/>
      <c r="AK3" s="86" t="n"/>
      <c r="AL3" s="87" t="n"/>
      <c r="AM3" s="104">
        <f>(AM5+AN5+AO5+AP5)/4</f>
        <v/>
      </c>
      <c r="AN3" s="86" t="n"/>
      <c r="AO3" s="86" t="n"/>
      <c r="AP3" s="87" t="n"/>
      <c r="AQ3" s="104">
        <f>(AQ5+AR5+AS5+AT5)/4</f>
        <v/>
      </c>
      <c r="AR3" s="86" t="n"/>
      <c r="AS3" s="86" t="n"/>
      <c r="AT3" s="87" t="n"/>
      <c r="AU3" s="104">
        <f>(AU5+AV5+AW5+AX5)/4</f>
        <v/>
      </c>
      <c r="AV3" s="86" t="n"/>
      <c r="AW3" s="86" t="n"/>
      <c r="AX3" s="87" t="n"/>
      <c r="AY3" s="105">
        <f>(AY5+AZ5+BA5+BB5)/4</f>
        <v/>
      </c>
      <c r="AZ3" s="86" t="n"/>
      <c r="BA3" s="86" t="n"/>
      <c r="BB3" s="87" t="n"/>
      <c r="BC3" s="105">
        <f>(BC5+BD5+BE5+BF5)/4</f>
        <v/>
      </c>
      <c r="BD3" s="86" t="n"/>
      <c r="BE3" s="86" t="n"/>
      <c r="BF3" s="87" t="n"/>
      <c r="BG3" s="105">
        <f>(BG5+BH5+BI5+BJ5)/4</f>
        <v/>
      </c>
      <c r="BH3" s="86" t="n"/>
      <c r="BI3" s="86" t="n"/>
      <c r="BJ3" s="87" t="n"/>
      <c r="BK3" s="105">
        <f>(BK5+BL5+BM5+BN5)/4</f>
        <v/>
      </c>
      <c r="BL3" s="86" t="n"/>
      <c r="BM3" s="86" t="n"/>
      <c r="BN3" s="87" t="n"/>
      <c r="BO3" s="105">
        <f>(BO5+BP5+BQ5+BR5)/4</f>
        <v/>
      </c>
      <c r="BP3" s="86" t="n"/>
      <c r="BQ3" s="86" t="n"/>
      <c r="BR3" s="87" t="n"/>
      <c r="BS3" s="105">
        <f>(BS5+BT5+BU5+BV5)/4</f>
        <v/>
      </c>
      <c r="BT3" s="86" t="n"/>
      <c r="BU3" s="86" t="n"/>
      <c r="BV3" s="87" t="n"/>
      <c r="BW3" s="105">
        <f>(BW5+BX5+BY5+BZ5)/4</f>
        <v/>
      </c>
      <c r="BX3" s="86" t="n"/>
      <c r="BY3" s="86" t="n"/>
      <c r="BZ3" s="87" t="n"/>
      <c r="CA3" s="73" t="n"/>
      <c r="CB3" s="73" t="n"/>
      <c r="CC3" s="73" t="n"/>
      <c r="CD3" s="73" t="n"/>
      <c r="CE3" s="73" t="n"/>
    </row>
    <row r="4" ht="12.75" customHeight="1" s="74">
      <c r="A4" s="89" t="n"/>
      <c r="B4" s="89" t="n"/>
      <c r="C4" s="89" t="n"/>
      <c r="D4" s="89" t="n"/>
      <c r="E4" s="89" t="n"/>
      <c r="F4" s="102" t="inlineStr">
        <is>
          <t>Наимен</t>
        </is>
      </c>
      <c r="G4" s="102" t="inlineStr">
        <is>
          <t>Кол-во</t>
        </is>
      </c>
      <c r="H4" s="102" t="inlineStr">
        <is>
          <t>Производительность в смену</t>
        </is>
      </c>
      <c r="I4" s="102" t="inlineStr">
        <is>
          <t>Число смен</t>
        </is>
      </c>
      <c r="J4" s="102" t="inlineStr">
        <is>
          <t>Срок</t>
        </is>
      </c>
      <c r="K4" s="89" t="n"/>
      <c r="L4" s="102" t="inlineStr">
        <is>
          <t>Нач.</t>
        </is>
      </c>
      <c r="M4" s="102" t="inlineStr">
        <is>
          <t>Длит.</t>
        </is>
      </c>
      <c r="N4" s="102" t="inlineStr">
        <is>
          <t>Оконч.</t>
        </is>
      </c>
      <c r="O4" s="106">
        <f>LOOKUP(WEEKDAY(O5,2),{1,2,3,4,5,6,7},{"пн","вт","ср","чт","пт","сб","вс"})</f>
        <v/>
      </c>
      <c r="P4" s="106">
        <f>LOOKUP(WEEKDAY(P5,2),{1,2,3,4,5,6,7},{"пн","вт","ср","чт","пт","сб","вс"})</f>
        <v/>
      </c>
      <c r="Q4" s="106">
        <f>LOOKUP(WEEKDAY(Q5,2),{1,2,3,4,5,6,7},{"пн","вт","ср","чт","пт","сб","вс"})</f>
        <v/>
      </c>
      <c r="R4" s="106">
        <f>LOOKUP(WEEKDAY(R5,2),{1,2,3,4,5,6,7},{"пн","вт","ср","чт","пт","сб","вс"})</f>
        <v/>
      </c>
      <c r="S4" s="106">
        <f>LOOKUP(WEEKDAY(S5,2),{1,2,3,4,5,6,7},{"пн","вт","ср","чт","пт","сб","вс"})</f>
        <v/>
      </c>
      <c r="T4" s="106">
        <f>LOOKUP(WEEKDAY(T5,2),{1,2,3,4,5,6,7},{"пн","вт","ср","чт","пт","сб","вс"})</f>
        <v/>
      </c>
      <c r="U4" s="106">
        <f>LOOKUP(WEEKDAY(U5,2),{1,2,3,4,5,6,7},{"пн","вт","ср","чт","пт","сб","вс"})</f>
        <v/>
      </c>
      <c r="V4" s="106">
        <f>LOOKUP(WEEKDAY(V5,2),{1,2,3,4,5,6,7},{"пн","вт","ср","чт","пт","сб","вс"})</f>
        <v/>
      </c>
      <c r="W4" s="106">
        <f>LOOKUP(WEEKDAY(W5,2),{1,2,3,4,5,6,7},{"пн","вт","ср","чт","пт","сб","вс"})</f>
        <v/>
      </c>
      <c r="X4" s="106">
        <f>LOOKUP(WEEKDAY(X5,2),{1,2,3,4,5,6,7},{"пн","вт","ср","чт","пт","сб","вс"})</f>
        <v/>
      </c>
      <c r="Y4" s="106">
        <f>LOOKUP(WEEKDAY(Y5,2),{1,2,3,4,5,6,7},{"пн","вт","ср","чт","пт","сб","вс"})</f>
        <v/>
      </c>
      <c r="Z4" s="106">
        <f>LOOKUP(WEEKDAY(Z5,2),{1,2,3,4,5,6,7},{"пн","вт","ср","чт","пт","сб","вс"})</f>
        <v/>
      </c>
      <c r="AA4" s="106">
        <f>LOOKUP(WEEKDAY(AA5,2),{1,2,3,4,5,6,7},{"пн","вт","ср","чт","пт","сб","вс"})</f>
        <v/>
      </c>
      <c r="AB4" s="106">
        <f>LOOKUP(WEEKDAY(AB5,2),{1,2,3,4,5,6,7},{"пн","вт","ср","чт","пт","сб","вс"})</f>
        <v/>
      </c>
      <c r="AC4" s="106">
        <f>LOOKUP(WEEKDAY(AC5,2),{1,2,3,4,5,6,7},{"пн","вт","ср","чт","пт","сб","вс"})</f>
        <v/>
      </c>
      <c r="AD4" s="106">
        <f>LOOKUP(WEEKDAY(AD5,2),{1,2,3,4,5,6,7},{"пн","вт","ср","чт","пт","сб","вс"})</f>
        <v/>
      </c>
      <c r="AE4" s="106">
        <f>LOOKUP(WEEKDAY(AE5,2),{1,2,3,4,5,6,7},{"пн","вт","ср","чт","пт","сб","вс"})</f>
        <v/>
      </c>
      <c r="AF4" s="106">
        <f>LOOKUP(WEEKDAY(AF5,2),{1,2,3,4,5,6,7},{"пн","вт","ср","чт","пт","сб","вс"})</f>
        <v/>
      </c>
      <c r="AG4" s="106">
        <f>LOOKUP(WEEKDAY(AG5,2),{1,2,3,4,5,6,7},{"пн","вт","ср","чт","пт","сб","вс"})</f>
        <v/>
      </c>
      <c r="AH4" s="106">
        <f>LOOKUP(WEEKDAY(AH5,2),{1,2,3,4,5,6,7},{"пн","вт","ср","чт","пт","сб","вс"})</f>
        <v/>
      </c>
      <c r="AI4" s="106">
        <f>LOOKUP(WEEKDAY(AI5,2),{1,2,3,4,5,6,7},{"пн","вт","ср","чт","пт","сб","вс"})</f>
        <v/>
      </c>
      <c r="AJ4" s="106">
        <f>LOOKUP(WEEKDAY(AJ5,2),{1,2,3,4,5,6,7},{"пн","вт","ср","чт","пт","сб","вс"})</f>
        <v/>
      </c>
      <c r="AK4" s="106">
        <f>LOOKUP(WEEKDAY(AK5,2),{1,2,3,4,5,6,7},{"пн","вт","ср","чт","пт","сб","вс"})</f>
        <v/>
      </c>
      <c r="AL4" s="106">
        <f>LOOKUP(WEEKDAY(AL5,2),{1,2,3,4,5,6,7},{"пн","вт","ср","чт","пт","сб","вс"})</f>
        <v/>
      </c>
      <c r="AM4" s="106">
        <f>LOOKUP(WEEKDAY(AM5,2),{1,2,3,4,5,6,7},{"пн","вт","ср","чт","пт","сб","вс"})</f>
        <v/>
      </c>
      <c r="AN4" s="106">
        <f>LOOKUP(WEEKDAY(AN5,2),{1,2,3,4,5,6,7},{"пн","вт","ср","чт","пт","сб","вс"})</f>
        <v/>
      </c>
      <c r="AO4" s="106">
        <f>LOOKUP(WEEKDAY(AO5,2),{1,2,3,4,5,6,7},{"пн","вт","ср","чт","пт","сб","вс"})</f>
        <v/>
      </c>
      <c r="AP4" s="106">
        <f>LOOKUP(WEEKDAY(AP5,2),{1,2,3,4,5,6,7},{"пн","вт","ср","чт","пт","сб","вс"})</f>
        <v/>
      </c>
      <c r="AQ4" s="106">
        <f>LOOKUP(WEEKDAY(AQ5,2),{1,2,3,4,5,6,7},{"пн","вт","ср","чт","пт","сб","вс"})</f>
        <v/>
      </c>
      <c r="AR4" s="106">
        <f>LOOKUP(WEEKDAY(AR5,2),{1,2,3,4,5,6,7},{"пн","вт","ср","чт","пт","сб","вс"})</f>
        <v/>
      </c>
      <c r="AS4" s="106">
        <f>LOOKUP(WEEKDAY(AS5,2),{1,2,3,4,5,6,7},{"пн","вт","ср","чт","пт","сб","вс"})</f>
        <v/>
      </c>
      <c r="AT4" s="106">
        <f>LOOKUP(WEEKDAY(AT5,2),{1,2,3,4,5,6,7},{"пн","вт","ср","чт","пт","сб","вс"})</f>
        <v/>
      </c>
      <c r="AU4" s="106">
        <f>LOOKUP(WEEKDAY(AU5,2),{1,2,3,4,5,6,7},{"пн","вт","ср","чт","пт","сб","вс"})</f>
        <v/>
      </c>
      <c r="AV4" s="106">
        <f>LOOKUP(WEEKDAY(AV5,2),{1,2,3,4,5,6,7},{"пн","вт","ср","чт","пт","сб","вс"})</f>
        <v/>
      </c>
      <c r="AW4" s="106">
        <f>LOOKUP(WEEKDAY(AW5,2),{1,2,3,4,5,6,7},{"пн","вт","ср","чт","пт","сб","вс"})</f>
        <v/>
      </c>
      <c r="AX4" s="106">
        <f>LOOKUP(WEEKDAY(AX5,2),{1,2,3,4,5,6,7},{"пн","вт","ср","чт","пт","сб","вс"})</f>
        <v/>
      </c>
      <c r="AY4" s="90">
        <f>LOOKUP(WEEKDAY(AY5,2),{1,2,3,4,5,6,7},{"пн","вт","ср","чт","пт","сб","вс"})</f>
        <v/>
      </c>
      <c r="AZ4" s="90">
        <f>LOOKUP(WEEKDAY(AZ5,2),{1,2,3,4,5,6,7},{"пн","вт","ср","чт","пт","сб","вс"})</f>
        <v/>
      </c>
      <c r="BA4" s="90">
        <f>LOOKUP(WEEKDAY(BA5,2),{1,2,3,4,5,6,7},{"пн","вт","ср","чт","пт","сб","вс"})</f>
        <v/>
      </c>
      <c r="BB4" s="90">
        <f>LOOKUP(WEEKDAY(BB5,2),{1,2,3,4,5,6,7},{"пн","вт","ср","чт","пт","сб","вс"})</f>
        <v/>
      </c>
      <c r="BC4" s="90">
        <f>LOOKUP(WEEKDAY(BC5,2),{1,2,3,4,5,6,7},{"пн","вт","ср","чт","пт","сб","вс"})</f>
        <v/>
      </c>
      <c r="BD4" s="90">
        <f>LOOKUP(WEEKDAY(BD5,2),{1,2,3,4,5,6,7},{"пн","вт","ср","чт","пт","сб","вс"})</f>
        <v/>
      </c>
      <c r="BE4" s="90">
        <f>LOOKUP(WEEKDAY(BE5,2),{1,2,3,4,5,6,7},{"пн","вт","ср","чт","пт","сб","вс"})</f>
        <v/>
      </c>
      <c r="BF4" s="90">
        <f>LOOKUP(WEEKDAY(BF5,2),{1,2,3,4,5,6,7},{"пн","вт","ср","чт","пт","сб","вс"})</f>
        <v/>
      </c>
      <c r="BG4" s="90">
        <f>LOOKUP(WEEKDAY(BG5,2),{1,2,3,4,5,6,7},{"пн","вт","ср","чт","пт","сб","вс"})</f>
        <v/>
      </c>
      <c r="BH4" s="90">
        <f>LOOKUP(WEEKDAY(BH5,2),{1,2,3,4,5,6,7},{"пн","вт","ср","чт","пт","сб","вс"})</f>
        <v/>
      </c>
      <c r="BI4" s="90">
        <f>LOOKUP(WEEKDAY(BI5,2),{1,2,3,4,5,6,7},{"пн","вт","ср","чт","пт","сб","вс"})</f>
        <v/>
      </c>
      <c r="BJ4" s="90">
        <f>LOOKUP(WEEKDAY(BJ5,2),{1,2,3,4,5,6,7},{"пн","вт","ср","чт","пт","сб","вс"})</f>
        <v/>
      </c>
      <c r="BK4" s="90">
        <f>LOOKUP(WEEKDAY(BK5,2),{1,2,3,4,5,6,7},{"пн","вт","ср","чт","пт","сб","вс"})</f>
        <v/>
      </c>
      <c r="BL4" s="90">
        <f>LOOKUP(WEEKDAY(BL5,2),{1,2,3,4,5,6,7},{"пн","вт","ср","чт","пт","сб","вс"})</f>
        <v/>
      </c>
      <c r="BM4" s="90">
        <f>LOOKUP(WEEKDAY(BM5,2),{1,2,3,4,5,6,7},{"пн","вт","ср","чт","пт","сб","вс"})</f>
        <v/>
      </c>
      <c r="BN4" s="90">
        <f>LOOKUP(WEEKDAY(BN5,2),{1,2,3,4,5,6,7},{"пн","вт","ср","чт","пт","сб","вс"})</f>
        <v/>
      </c>
      <c r="BO4" s="90">
        <f>LOOKUP(WEEKDAY(BO5,2),{1,2,3,4,5,6,7},{"пн","вт","ср","чт","пт","сб","вс"})</f>
        <v/>
      </c>
      <c r="BP4" s="90">
        <f>LOOKUP(WEEKDAY(BP5,2),{1,2,3,4,5,6,7},{"пн","вт","ср","чт","пт","сб","вс"})</f>
        <v/>
      </c>
      <c r="BQ4" s="90">
        <f>LOOKUP(WEEKDAY(BQ5,2),{1,2,3,4,5,6,7},{"пн","вт","ср","чт","пт","сб","вс"})</f>
        <v/>
      </c>
      <c r="BR4" s="90">
        <f>LOOKUP(WEEKDAY(BR5,2),{1,2,3,4,5,6,7},{"пн","вт","ср","чт","пт","сб","вс"})</f>
        <v/>
      </c>
      <c r="BS4" s="90">
        <f>LOOKUP(WEEKDAY(BS5,2),{1,2,3,4,5,6,7},{"пн","вт","ср","чт","пт","сб","вс"})</f>
        <v/>
      </c>
      <c r="BT4" s="90">
        <f>LOOKUP(WEEKDAY(BT5,2),{1,2,3,4,5,6,7},{"пн","вт","ср","чт","пт","сб","вс"})</f>
        <v/>
      </c>
      <c r="BU4" s="90">
        <f>LOOKUP(WEEKDAY(BU5,2),{1,2,3,4,5,6,7},{"пн","вт","ср","чт","пт","сб","вс"})</f>
        <v/>
      </c>
      <c r="BV4" s="90">
        <f>LOOKUP(WEEKDAY(BV5,2),{1,2,3,4,5,6,7},{"пн","вт","ср","чт","пт","сб","вс"})</f>
        <v/>
      </c>
      <c r="BW4" s="90">
        <f>LOOKUP(WEEKDAY(BW5,2),{1,2,3,4,5,6,7},{"пн","вт","ср","чт","пт","сб","вс"})</f>
        <v/>
      </c>
      <c r="BX4" s="90">
        <f>LOOKUP(WEEKDAY(BX5,2),{1,2,3,4,5,6,7},{"пн","вт","ср","чт","пт","сб","вс"})</f>
        <v/>
      </c>
      <c r="BY4" s="90">
        <f>LOOKUP(WEEKDAY(BY5,2),{1,2,3,4,5,6,7},{"пн","вт","ср","чт","пт","сб","вс"})</f>
        <v/>
      </c>
      <c r="BZ4" s="90">
        <f>LOOKUP(WEEKDAY(BZ5,2),{1,2,3,4,5,6,7},{"пн","вт","ср","чт","пт","сб","вс"})</f>
        <v/>
      </c>
      <c r="CA4" s="73" t="n"/>
      <c r="CB4" s="73" t="n"/>
      <c r="CC4" s="73" t="n"/>
      <c r="CD4" s="73" t="n"/>
      <c r="CE4" s="73" t="n"/>
    </row>
    <row r="5" ht="36" customHeight="1" s="74">
      <c r="A5" s="91" t="n"/>
      <c r="B5" s="91" t="n"/>
      <c r="C5" s="91" t="n"/>
      <c r="D5" s="91" t="n"/>
      <c r="E5" s="91" t="n"/>
      <c r="F5" s="91" t="n"/>
      <c r="G5" s="91" t="n"/>
      <c r="H5" s="91" t="n"/>
      <c r="I5" s="91" t="n"/>
      <c r="J5" s="91" t="n"/>
      <c r="K5" s="91" t="n"/>
      <c r="L5" s="91" t="n"/>
      <c r="M5" s="91" t="n"/>
      <c r="N5" s="91" t="n"/>
      <c r="O5" s="107" t="n">
        <v>46266</v>
      </c>
      <c r="P5" s="107" t="n">
        <v>46267</v>
      </c>
      <c r="Q5" s="107" t="n">
        <v>46268</v>
      </c>
      <c r="R5" s="107" t="n">
        <v>46269</v>
      </c>
      <c r="S5" s="107" t="n">
        <v>46270</v>
      </c>
      <c r="T5" s="107" t="n">
        <v>46271</v>
      </c>
      <c r="U5" s="107" t="n">
        <v>46272</v>
      </c>
      <c r="V5" s="107" t="n">
        <v>46273</v>
      </c>
      <c r="W5" s="107" t="n">
        <v>46274</v>
      </c>
      <c r="X5" s="107" t="n">
        <v>46275</v>
      </c>
      <c r="Y5" s="107" t="n">
        <v>46276</v>
      </c>
      <c r="Z5" s="107" t="n">
        <v>46277</v>
      </c>
      <c r="AA5" s="107" t="n">
        <v>46278</v>
      </c>
      <c r="AB5" s="107" t="n">
        <v>46279</v>
      </c>
      <c r="AC5" s="107" t="n">
        <v>46280</v>
      </c>
      <c r="AD5" s="107" t="n">
        <v>46281</v>
      </c>
      <c r="AE5" s="107" t="n">
        <v>46282</v>
      </c>
      <c r="AF5" s="107" t="n">
        <v>46283</v>
      </c>
      <c r="AG5" s="107" t="n">
        <v>46284</v>
      </c>
      <c r="AH5" s="107" t="n">
        <v>46285</v>
      </c>
      <c r="AI5" s="107" t="n">
        <v>46286</v>
      </c>
      <c r="AJ5" s="107" t="n">
        <v>46287</v>
      </c>
      <c r="AK5" s="107" t="n">
        <v>46288</v>
      </c>
      <c r="AL5" s="107" t="n">
        <v>46289</v>
      </c>
      <c r="AM5" s="107" t="n">
        <v>46290</v>
      </c>
      <c r="AN5" s="107" t="n">
        <v>46291</v>
      </c>
      <c r="AO5" s="107" t="n">
        <v>46292</v>
      </c>
      <c r="AP5" s="107" t="n">
        <v>46293</v>
      </c>
      <c r="AQ5" s="107" t="n">
        <v>46294</v>
      </c>
      <c r="AR5" s="107" t="n">
        <v>46295</v>
      </c>
      <c r="AS5" s="107" t="n">
        <v>46296</v>
      </c>
      <c r="AT5" s="107" t="n">
        <v>46297</v>
      </c>
      <c r="AU5" s="107" t="n">
        <v>46298</v>
      </c>
      <c r="AV5" s="107" t="n">
        <v>46299</v>
      </c>
      <c r="AW5" s="107" t="n">
        <v>46300</v>
      </c>
      <c r="AX5" s="107" t="n">
        <v>46301</v>
      </c>
      <c r="AY5" s="107" t="n">
        <v>46302</v>
      </c>
      <c r="AZ5" s="107" t="n">
        <v>46303</v>
      </c>
      <c r="BA5" s="107" t="n">
        <v>46304</v>
      </c>
      <c r="BB5" s="107" t="n">
        <v>46305</v>
      </c>
      <c r="BC5" s="107" t="n">
        <v>46306</v>
      </c>
      <c r="BD5" s="107" t="n">
        <v>46307</v>
      </c>
      <c r="BE5" s="107" t="n">
        <v>46308</v>
      </c>
      <c r="BF5" s="107" t="n">
        <v>46309</v>
      </c>
      <c r="BG5" s="107" t="n">
        <v>46310</v>
      </c>
      <c r="BH5" s="107" t="n">
        <v>46311</v>
      </c>
      <c r="BI5" s="107" t="n">
        <v>46312</v>
      </c>
      <c r="BJ5" s="107" t="n">
        <v>46313</v>
      </c>
      <c r="BK5" s="107" t="n">
        <v>46314</v>
      </c>
      <c r="BL5" s="107" t="n">
        <v>46315</v>
      </c>
      <c r="BM5" s="107" t="n">
        <v>46316</v>
      </c>
      <c r="BN5" s="107" t="n">
        <v>46317</v>
      </c>
      <c r="BO5" s="107" t="n">
        <v>46318</v>
      </c>
      <c r="BP5" s="107" t="n">
        <v>46319</v>
      </c>
      <c r="BQ5" s="107" t="n">
        <v>46320</v>
      </c>
      <c r="BR5" s="107" t="n">
        <v>46321</v>
      </c>
      <c r="BS5" s="107" t="n">
        <v>46322</v>
      </c>
      <c r="BT5" s="107" t="n">
        <v>46323</v>
      </c>
      <c r="BU5" s="107" t="n">
        <v>46324</v>
      </c>
      <c r="BV5" s="107" t="n">
        <v>46325</v>
      </c>
      <c r="BW5" s="107" t="n">
        <v>46326</v>
      </c>
      <c r="BX5" s="107" t="n">
        <v>46327</v>
      </c>
      <c r="BY5" s="107" t="n">
        <v>46328</v>
      </c>
      <c r="BZ5" s="107" t="n">
        <v>46329</v>
      </c>
      <c r="CC5" s="73" t="n"/>
      <c r="CD5" s="73" t="n"/>
      <c r="CE5" s="73" t="n"/>
    </row>
    <row r="6" hidden="1" s="74">
      <c r="A6" s="102" t="n"/>
      <c r="B6" s="106" t="n"/>
      <c r="C6" s="108" t="n"/>
      <c r="D6" s="102" t="n"/>
      <c r="E6" s="102" t="n"/>
      <c r="F6" s="102" t="n"/>
      <c r="G6" s="102" t="n"/>
      <c r="H6" s="102" t="n"/>
      <c r="I6" s="102" t="n"/>
      <c r="J6" s="102" t="n"/>
      <c r="K6" s="103" t="n"/>
      <c r="L6" s="109" t="n"/>
      <c r="M6" s="106" t="n"/>
      <c r="N6" s="109" t="n"/>
      <c r="O6" s="110" t="n"/>
      <c r="P6" s="110" t="n"/>
      <c r="Q6" s="110" t="n"/>
      <c r="R6" s="110" t="n"/>
      <c r="S6" s="110" t="n"/>
      <c r="T6" s="110" t="n"/>
      <c r="U6" s="110" t="n"/>
      <c r="V6" s="110" t="n"/>
      <c r="W6" s="110" t="n"/>
      <c r="X6" s="110" t="n"/>
      <c r="Y6" s="110" t="n"/>
      <c r="Z6" s="110" t="n"/>
      <c r="AA6" s="110" t="n"/>
      <c r="AB6" s="110" t="n"/>
      <c r="AC6" s="110" t="n"/>
      <c r="AD6" s="110" t="n"/>
      <c r="AE6" s="110" t="n"/>
      <c r="AF6" s="110" t="n"/>
      <c r="AG6" s="110" t="n"/>
      <c r="AH6" s="110" t="n"/>
      <c r="AI6" s="110" t="n"/>
      <c r="AJ6" s="110" t="n"/>
      <c r="AK6" s="110" t="n"/>
      <c r="AL6" s="110" t="n"/>
      <c r="AM6" s="110" t="n"/>
      <c r="AN6" s="110" t="n"/>
      <c r="AO6" s="110" t="n"/>
      <c r="AP6" s="110" t="n"/>
      <c r="AQ6" s="110" t="n"/>
      <c r="AR6" s="110" t="n"/>
      <c r="AS6" s="110" t="n"/>
      <c r="AT6" s="110" t="n"/>
      <c r="AU6" s="110" t="n"/>
      <c r="AV6" s="111" t="n"/>
      <c r="AW6" s="111" t="n"/>
      <c r="AX6" s="111" t="n"/>
      <c r="AY6" s="112" t="n"/>
      <c r="AZ6" s="112" t="n"/>
      <c r="BA6" s="112" t="n"/>
      <c r="BB6" s="112" t="n"/>
      <c r="BC6" s="112" t="n"/>
      <c r="BD6" s="112" t="n"/>
      <c r="BE6" s="112" t="n"/>
      <c r="BF6" s="112" t="n"/>
      <c r="BG6" s="90" t="n"/>
      <c r="BH6" s="90" t="n"/>
      <c r="BI6" s="90" t="n"/>
      <c r="BJ6" s="90" t="n"/>
      <c r="BK6" s="90" t="n"/>
      <c r="BL6" s="90" t="n"/>
      <c r="BM6" s="90" t="n"/>
      <c r="BN6" s="90" t="n"/>
      <c r="BO6" s="90" t="n"/>
      <c r="BP6" s="90" t="n"/>
      <c r="BQ6" s="90" t="n"/>
      <c r="BR6" s="90" t="n"/>
      <c r="BS6" s="90" t="n"/>
      <c r="BT6" s="90" t="n"/>
      <c r="BU6" s="90" t="n"/>
      <c r="BV6" s="90" t="n"/>
      <c r="BW6" s="90" t="n"/>
      <c r="BX6" s="90" t="n"/>
      <c r="BY6" s="107" t="n"/>
      <c r="BZ6" s="107" t="n"/>
      <c r="CC6" s="73" t="n"/>
      <c r="CD6" s="73" t="n"/>
      <c r="CE6" s="73" t="n"/>
    </row>
    <row r="7" s="74">
      <c r="A7" s="113" t="n"/>
      <c r="B7" s="106" t="n">
        <v>1</v>
      </c>
      <c r="C7" s="108" t="inlineStr">
        <is>
          <t>Бетонирование КФ РВС№ 13.7</t>
        </is>
      </c>
      <c r="D7" s="102" t="n"/>
      <c r="E7" s="102" t="n"/>
      <c r="F7" s="102" t="n"/>
      <c r="G7" s="102" t="n"/>
      <c r="H7" s="102" t="n"/>
      <c r="I7" s="102" t="n"/>
      <c r="J7" s="102" t="n"/>
      <c r="K7" s="103" t="n"/>
      <c r="L7" s="114" t="n">
        <v>46279</v>
      </c>
      <c r="M7" s="106" t="n">
        <v>1</v>
      </c>
      <c r="N7" s="109">
        <f>L7+M7-1</f>
        <v/>
      </c>
      <c r="O7" s="115">
        <f>IF(AND(O$5&gt;=$L7,O$5&lt;=$N7),$K7,"")</f>
        <v/>
      </c>
      <c r="P7" s="115">
        <f>IF(AND(P$5&gt;=$L7,P$5&lt;=$N7),$K7,"")</f>
        <v/>
      </c>
      <c r="Q7" s="115">
        <f>IF(AND(Q$5&gt;=$L7,Q$5&lt;=$N7),$K7,"")</f>
        <v/>
      </c>
      <c r="R7" s="115">
        <f>IF(AND(R$5&gt;=$L7,R$5&lt;=$N7),$K7,"")</f>
        <v/>
      </c>
      <c r="S7" s="115">
        <f>IF(AND(S$5&gt;=$L7,S$5&lt;=$N7),$K7,"")</f>
        <v/>
      </c>
      <c r="T7" s="115">
        <f>IF(AND(T$5&gt;=$L7,T$5&lt;=$N7),$K7,"")</f>
        <v/>
      </c>
      <c r="U7" s="115">
        <f>IF(AND(U$5&gt;=$L7,U$5&lt;=$N7),$K7,"")</f>
        <v/>
      </c>
      <c r="V7" s="115">
        <f>IF(AND(V$5&gt;=$L7,V$5&lt;=$N7),$K7,"")</f>
        <v/>
      </c>
      <c r="W7" s="115">
        <f>IF(AND(W$5&gt;=$L7,W$5&lt;=$N7),$K7,"")</f>
        <v/>
      </c>
      <c r="X7" s="115">
        <f>IF(AND(X$5&gt;=$L7,X$5&lt;=$N7),$K7,"")</f>
        <v/>
      </c>
      <c r="Y7" s="115">
        <f>IF(AND(Y$5&gt;=$L7,Y$5&lt;=$N7),$K7,"")</f>
        <v/>
      </c>
      <c r="Z7" s="115">
        <f>IF(AND(Z$5&gt;=$L7,Z$5&lt;=$N7),$K7,"")</f>
        <v/>
      </c>
      <c r="AA7" s="115">
        <f>IF(AND(AA$5&gt;=$L7,AA$5&lt;=$N7),$K7,"")</f>
        <v/>
      </c>
      <c r="AB7" s="115">
        <f>IF(AND(AB$5&gt;=$L7,AB$5&lt;=$N7),$K7,"")</f>
        <v/>
      </c>
      <c r="AC7" s="115">
        <f>IF(AND(AC$5&gt;=$L7,AC$5&lt;=$N7),$K7,"")</f>
        <v/>
      </c>
      <c r="AD7" s="115">
        <f>IF(AND(AD$5&gt;=$L7,AD$5&lt;=$N7),$K7,"")</f>
        <v/>
      </c>
      <c r="AE7" s="115">
        <f>IF(AND(AE$5&gt;=$L7,AE$5&lt;=$N7),$K7,"")</f>
        <v/>
      </c>
      <c r="AF7" s="115">
        <f>IF(AND(AF$5&gt;=$L7,AF$5&lt;=$N7),$K7,"")</f>
        <v/>
      </c>
      <c r="AG7" s="115">
        <f>IF(AND(AG$5&gt;=$L7,AG$5&lt;=$N7),$K7,"")</f>
        <v/>
      </c>
      <c r="AH7" s="115">
        <f>IF(AND(AH$5&gt;=$L7,AH$5&lt;=$N7),$K7,"")</f>
        <v/>
      </c>
      <c r="AI7" s="115">
        <f>IF(AND(AI$5&gt;=$L7,AI$5&lt;=$N7),$K7,"")</f>
        <v/>
      </c>
      <c r="AJ7" s="115">
        <f>IF(AND(AJ$5&gt;=$L7,AJ$5&lt;=$N7),$K7,"")</f>
        <v/>
      </c>
      <c r="AK7" s="115">
        <f>IF(AND(AK$5&gt;=$L7,AK$5&lt;=$N7),$K7,"")</f>
        <v/>
      </c>
      <c r="AL7" s="115">
        <f>IF(AND(AL$5&gt;=$L7,AL$5&lt;=$N7),$K7,"")</f>
        <v/>
      </c>
      <c r="AM7" s="115">
        <f>IF(AND(AM$5&gt;=$L7,AM$5&lt;=$N7),$K7,"")</f>
        <v/>
      </c>
      <c r="AN7" s="115">
        <f>IF(AND(AN$5&gt;=$L7,AN$5&lt;=$N7),$K7,"")</f>
        <v/>
      </c>
      <c r="AO7" s="115">
        <f>IF(AND(AO$5&gt;=$L7,AO$5&lt;=$N7),$K7,"")</f>
        <v/>
      </c>
      <c r="AP7" s="115">
        <f>IF(AND(AP$5&gt;=$L7,AP$5&lt;=$N7),$K7,"")</f>
        <v/>
      </c>
      <c r="AQ7" s="115">
        <f>IF(AND(AQ$5&gt;=$L7,AQ$5&lt;=$N7),$K7,"")</f>
        <v/>
      </c>
      <c r="AR7" s="115">
        <f>IF(AND(AR$5&gt;=$L7,AR$5&lt;=$N7),$K7,"")</f>
        <v/>
      </c>
      <c r="AS7" s="115">
        <f>IF(AND(AS$5&gt;=$L7,AS$5&lt;=$N7),$K7,"")</f>
        <v/>
      </c>
      <c r="AT7" s="115">
        <f>IF(AND(AT$5&gt;=$L7,AT$5&lt;=$N7),$K7,"")</f>
        <v/>
      </c>
      <c r="AU7" s="115">
        <f>IF(AND(AU$5&gt;=$L7,AU$5&lt;=$N7),$K7,"")</f>
        <v/>
      </c>
      <c r="AV7" s="116">
        <f>IF(AND(AV$5&gt;=$L7,AV$5&lt;=$N7),$K7,"")</f>
        <v/>
      </c>
      <c r="AW7" s="116">
        <f>IF(AND(AW$5&gt;=$L7,AW$5&lt;=$N7),$K7,"")</f>
        <v/>
      </c>
      <c r="AX7" s="116">
        <f>IF(AND(AX$5&gt;=$L7,AX$5&lt;=$N7),$K7,"")</f>
        <v/>
      </c>
      <c r="AY7" s="117">
        <f>IF(AND(AY$5&gt;=$L7,AY$5&lt;=$N7),$K7,"")</f>
        <v/>
      </c>
      <c r="AZ7" s="117">
        <f>IF(AND(AZ$5&gt;=$L7,AZ$5&lt;=$N7),$K7,"")</f>
        <v/>
      </c>
      <c r="BA7" s="117">
        <f>IF(AND(BA$5&gt;=$L7,BA$5&lt;=$N7),$K7,"")</f>
        <v/>
      </c>
      <c r="BB7" s="117">
        <f>IF(AND(BB$5&gt;=$L7,BB$5&lt;=$N7),$K7,"")</f>
        <v/>
      </c>
      <c r="BC7" s="117">
        <f>IF(AND(BC$5&gt;=$L7,BC$5&lt;=$N7),$K7,"")</f>
        <v/>
      </c>
      <c r="BD7" s="117">
        <f>IF(AND(BD$5&gt;=$L7,BD$5&lt;=$N7),$K7,"")</f>
        <v/>
      </c>
      <c r="BE7" s="117">
        <f>IF(AND(BE$5&gt;=$L7,BE$5&lt;=$N7),$K7,"")</f>
        <v/>
      </c>
      <c r="BF7" s="117">
        <f>IF(AND(BF$5&gt;=$L7,BF$5&lt;=$N7),$K7,"")</f>
        <v/>
      </c>
      <c r="BG7" s="118">
        <f>IF(AND(BG$5&gt;=$L7,BG$5&lt;=$N7),$K7,"")</f>
        <v/>
      </c>
      <c r="BH7" s="118">
        <f>IF(AND(BH$5&gt;=$L7,BH$5&lt;=$N7),$K7,"")</f>
        <v/>
      </c>
      <c r="BI7" s="118">
        <f>IF(AND(BI$5&gt;=$L7,BI$5&lt;=$N7),$K7,"")</f>
        <v/>
      </c>
      <c r="BJ7" s="118">
        <f>IF(AND(BJ$5&gt;=$L7,BJ$5&lt;=$N7),$K7,"")</f>
        <v/>
      </c>
      <c r="BK7" s="118">
        <f>IF(AND(BK$5&gt;=$L7,BK$5&lt;=$N7),$K7,"")</f>
        <v/>
      </c>
      <c r="BL7" s="118">
        <f>IF(AND(BL$5&gt;=$L7,BL$5&lt;=$N7),$K7,"")</f>
        <v/>
      </c>
      <c r="BM7" s="118">
        <f>IF(AND(BM$5&gt;=$L7,BM$5&lt;=$N7),$K7,"")</f>
        <v/>
      </c>
      <c r="BN7" s="118">
        <f>IF(AND(BN$5&gt;=$L7,BN$5&lt;=$N7),$K7,"")</f>
        <v/>
      </c>
      <c r="BO7" s="118">
        <f>IF(AND(BO$5&gt;=$L7,BO$5&lt;=$N7),$K7,"")</f>
        <v/>
      </c>
      <c r="BP7" s="118">
        <f>IF(AND(BP$5&gt;=$L7,BP$5&lt;=$N7),$K7,"")</f>
        <v/>
      </c>
      <c r="BQ7" s="118">
        <f>IF(AND(BQ$5&gt;=$L7,BQ$5&lt;=$N7),$K7,"")</f>
        <v/>
      </c>
      <c r="BR7" s="118">
        <f>IF(AND(BR$5&gt;=$L7,BR$5&lt;=$N7),$K7,"")</f>
        <v/>
      </c>
      <c r="BS7" s="118">
        <f>IF(AND(BS$5&gt;=$L7,BS$5&lt;=$N7),$K7,"")</f>
        <v/>
      </c>
      <c r="BT7" s="118">
        <f>IF(AND(BT$5&gt;=$L7,BT$5&lt;=$N7),$K7,"")</f>
        <v/>
      </c>
      <c r="BU7" s="118">
        <f>IF(AND(BU$5&gt;=$L7,BU$5&lt;=$N7),$K7,"")</f>
        <v/>
      </c>
      <c r="BV7" s="118">
        <f>IF(AND(BV$5&gt;=$L7,BV$5&lt;=$N7),$K7,"")</f>
        <v/>
      </c>
      <c r="BW7" s="118">
        <f>IF(AND(BW$5&gt;=$L7,BW$5&lt;=$N7),$K7,"")</f>
        <v/>
      </c>
      <c r="BX7" s="118">
        <f>IF(AND(BX$5&gt;=$L7,BX$5&lt;=$N7),$K7,"")</f>
        <v/>
      </c>
      <c r="BY7" s="115">
        <f>IF(AND(BY$5&gt;=$L7,BY$5&lt;=$N7),$K7,"")</f>
        <v/>
      </c>
      <c r="BZ7" s="115">
        <f>IF(AND(BZ$5&gt;=$L7,BZ$5&lt;=$N7),$K7,"")</f>
        <v/>
      </c>
    </row>
    <row r="8" s="74">
      <c r="A8" s="119" t="n"/>
      <c r="B8" s="106" t="n">
        <v>2</v>
      </c>
      <c r="C8" s="108" t="inlineStr">
        <is>
          <t>Бетонирование КФ РВС№ 13.9</t>
        </is>
      </c>
      <c r="D8" s="113" t="n"/>
      <c r="E8" s="120" t="n"/>
      <c r="F8" s="121" t="n"/>
      <c r="G8" s="121" t="n"/>
      <c r="H8" s="121" t="n"/>
      <c r="I8" s="121" t="n"/>
      <c r="J8" s="121" t="n"/>
      <c r="K8" s="113" t="n"/>
      <c r="L8" s="114" t="n">
        <v>46282</v>
      </c>
      <c r="M8" s="122" t="n">
        <v>2</v>
      </c>
      <c r="N8" s="109">
        <f>L8+M8-1</f>
        <v/>
      </c>
      <c r="O8" s="115">
        <f>IF(AND(O$5&gt;=$L8,O$5&lt;=$N8),$K8,"")</f>
        <v/>
      </c>
      <c r="P8" s="115">
        <f>IF(AND(P$5&gt;=$L8,P$5&lt;=$N8),$K8,"")</f>
        <v/>
      </c>
      <c r="Q8" s="115">
        <f>IF(AND(Q$5&gt;=$L8,Q$5&lt;=$N8),$K8,"")</f>
        <v/>
      </c>
      <c r="R8" s="115">
        <f>IF(AND(R$5&gt;=$L8,R$5&lt;=$N8),$K8,"")</f>
        <v/>
      </c>
      <c r="S8" s="115">
        <f>IF(AND(S$5&gt;=$L8,S$5&lt;=$N8),$K8,"")</f>
        <v/>
      </c>
      <c r="T8" s="115">
        <f>IF(AND(T$5&gt;=$L8,T$5&lt;=$N8),$K8,"")</f>
        <v/>
      </c>
      <c r="U8" s="115">
        <f>IF(AND(U$5&gt;=$L8,U$5&lt;=$N8),$K8,"")</f>
        <v/>
      </c>
      <c r="V8" s="115">
        <f>IF(AND(V$5&gt;=$L8,V$5&lt;=$N8),$K8,"")</f>
        <v/>
      </c>
      <c r="W8" s="115">
        <f>IF(AND(W$5&gt;=$L8,W$5&lt;=$N8),$K8,"")</f>
        <v/>
      </c>
      <c r="X8" s="115">
        <f>IF(AND(X$5&gt;=$L8,X$5&lt;=$N8),$K8,"")</f>
        <v/>
      </c>
      <c r="Y8" s="115">
        <f>IF(AND(Y$5&gt;=$L8,Y$5&lt;=$N8),$K8,"")</f>
        <v/>
      </c>
      <c r="Z8" s="115">
        <f>IF(AND(Z$5&gt;=$L8,Z$5&lt;=$N8),$K8,"")</f>
        <v/>
      </c>
      <c r="AA8" s="115">
        <f>IF(AND(AA$5&gt;=$L8,AA$5&lt;=$N8),$K8,"")</f>
        <v/>
      </c>
      <c r="AB8" s="115">
        <f>IF(AND(AB$5&gt;=$L8,AB$5&lt;=$N8),$K8,"")</f>
        <v/>
      </c>
      <c r="AC8" s="115">
        <f>IF(AND(AC$5&gt;=$L8,AC$5&lt;=$N8),$K8,"")</f>
        <v/>
      </c>
      <c r="AD8" s="115">
        <f>IF(AND(AD$5&gt;=$L8,AD$5&lt;=$N8),$K8,"")</f>
        <v/>
      </c>
      <c r="AE8" s="115">
        <f>IF(AND(AE$5&gt;=$L8,AE$5&lt;=$N8),$K8,"")</f>
        <v/>
      </c>
      <c r="AF8" s="115">
        <f>IF(AND(AF$5&gt;=$L8,AF$5&lt;=$N8),$K8,"")</f>
        <v/>
      </c>
      <c r="AG8" s="115">
        <f>IF(AND(AG$5&gt;=$L8,AG$5&lt;=$N8),$K8,"")</f>
        <v/>
      </c>
      <c r="AH8" s="115">
        <f>IF(AND(AH$5&gt;=$L8,AH$5&lt;=$N8),$K8,"")</f>
        <v/>
      </c>
      <c r="AI8" s="115">
        <f>IF(AND(AI$5&gt;=$L8,AI$5&lt;=$N8),$K8,"")</f>
        <v/>
      </c>
      <c r="AJ8" s="115">
        <f>IF(AND(AJ$5&gt;=$L8,AJ$5&lt;=$N8),$K8,"")</f>
        <v/>
      </c>
      <c r="AK8" s="115">
        <f>IF(AND(AK$5&gt;=$L8,AK$5&lt;=$N8),$K8,"")</f>
        <v/>
      </c>
      <c r="AL8" s="115">
        <f>IF(AND(AL$5&gt;=$L8,AL$5&lt;=$N8),$K8,"")</f>
        <v/>
      </c>
      <c r="AM8" s="115">
        <f>IF(AND(AM$5&gt;=$L8,AM$5&lt;=$N8),$K8,"")</f>
        <v/>
      </c>
      <c r="AN8" s="115">
        <f>IF(AND(AN$5&gt;=$L8,AN$5&lt;=$N8),$K8,"")</f>
        <v/>
      </c>
      <c r="AO8" s="115">
        <f>IF(AND(AO$5&gt;=$L8,AO$5&lt;=$N8),$K8,"")</f>
        <v/>
      </c>
      <c r="AP8" s="115">
        <f>IF(AND(AP$5&gt;=$L8,AP$5&lt;=$N8),$K8,"")</f>
        <v/>
      </c>
      <c r="AQ8" s="115">
        <f>IF(AND(AQ$5&gt;=$L8,AQ$5&lt;=$N8),$K8,"")</f>
        <v/>
      </c>
      <c r="AR8" s="115">
        <f>IF(AND(AR$5&gt;=$L8,AR$5&lt;=$N8),$K8,"")</f>
        <v/>
      </c>
      <c r="AS8" s="115">
        <f>IF(AND(AS$5&gt;=$L8,AS$5&lt;=$N8),$K8,"")</f>
        <v/>
      </c>
      <c r="AT8" s="115">
        <f>IF(AND(AT$5&gt;=$L8,AT$5&lt;=$N8),$K8,"")</f>
        <v/>
      </c>
      <c r="AU8" s="115">
        <f>IF(AND(AU$5&gt;=$L8,AU$5&lt;=$N8),$K8,"")</f>
        <v/>
      </c>
      <c r="AV8" s="116">
        <f>IF(AND(AV$5&gt;=$L8,AV$5&lt;=$N8),$K8,"")</f>
        <v/>
      </c>
      <c r="AW8" s="116">
        <f>IF(AND(AW$5&gt;=$L8,AW$5&lt;=$N8),$K8,"")</f>
        <v/>
      </c>
      <c r="AX8" s="116">
        <f>IF(AND(AX$5&gt;=$L8,AX$5&lt;=$N8),$K8,"")</f>
        <v/>
      </c>
      <c r="AY8" s="117">
        <f>IF(AND(AY$5&gt;=$L8,AY$5&lt;=$N8),$K8,"")</f>
        <v/>
      </c>
      <c r="AZ8" s="117">
        <f>IF(AND(AZ$5&gt;=$L8,AZ$5&lt;=$N8),$K8,"")</f>
        <v/>
      </c>
      <c r="BA8" s="117">
        <f>IF(AND(BA$5&gt;=$L8,BA$5&lt;=$N8),$K8,"")</f>
        <v/>
      </c>
      <c r="BB8" s="117">
        <f>IF(AND(BB$5&gt;=$L8,BB$5&lt;=$N8),$K8,"")</f>
        <v/>
      </c>
      <c r="BC8" s="117">
        <f>IF(AND(BC$5&gt;=$L8,BC$5&lt;=$N8),$K8,"")</f>
        <v/>
      </c>
      <c r="BD8" s="117">
        <f>IF(AND(BD$5&gt;=$L8,BD$5&lt;=$N8),$K8,"")</f>
        <v/>
      </c>
      <c r="BE8" s="117">
        <f>IF(AND(BE$5&gt;=$L8,BE$5&lt;=$N8),$K8,"")</f>
        <v/>
      </c>
      <c r="BF8" s="117">
        <f>IF(AND(BF$5&gt;=$L8,BF$5&lt;=$N8),$K8,"")</f>
        <v/>
      </c>
      <c r="BG8" s="118">
        <f>IF(AND(BG$5&gt;=$L8,BG$5&lt;=$N8),$K8,"")</f>
        <v/>
      </c>
      <c r="BH8" s="118">
        <f>IF(AND(BH$5&gt;=$L8,BH$5&lt;=$N8),$K8,"")</f>
        <v/>
      </c>
      <c r="BI8" s="118">
        <f>IF(AND(BI$5&gt;=$L8,BI$5&lt;=$N8),$K8,"")</f>
        <v/>
      </c>
      <c r="BJ8" s="118">
        <f>IF(AND(BJ$5&gt;=$L8,BJ$5&lt;=$N8),$K8,"")</f>
        <v/>
      </c>
      <c r="BK8" s="118">
        <f>IF(AND(BK$5&gt;=$L8,BK$5&lt;=$N8),$K8,"")</f>
        <v/>
      </c>
      <c r="BL8" s="118">
        <f>IF(AND(BL$5&gt;=$L8,BL$5&lt;=$N8),$K8,"")</f>
        <v/>
      </c>
      <c r="BM8" s="118">
        <f>IF(AND(BM$5&gt;=$L8,BM$5&lt;=$N8),$K8,"")</f>
        <v/>
      </c>
      <c r="BN8" s="118">
        <f>IF(AND(BN$5&gt;=$L8,BN$5&lt;=$N8),$K8,"")</f>
        <v/>
      </c>
      <c r="BO8" s="118">
        <f>IF(AND(BO$5&gt;=$L8,BO$5&lt;=$N8),$K8,"")</f>
        <v/>
      </c>
      <c r="BP8" s="118">
        <f>IF(AND(BP$5&gt;=$L8,BP$5&lt;=$N8),$K8,"")</f>
        <v/>
      </c>
      <c r="BQ8" s="118">
        <f>IF(AND(BQ$5&gt;=$L8,BQ$5&lt;=$N8),$K8,"")</f>
        <v/>
      </c>
      <c r="BR8" s="118">
        <f>IF(AND(BR$5&gt;=$L8,BR$5&lt;=$N8),$K8,"")</f>
        <v/>
      </c>
      <c r="BS8" s="118">
        <f>IF(AND(BS$5&gt;=$L8,BS$5&lt;=$N8),$K8,"")</f>
        <v/>
      </c>
      <c r="BT8" s="118">
        <f>IF(AND(BT$5&gt;=$L8,BT$5&lt;=$N8),$K8,"")</f>
        <v/>
      </c>
      <c r="BU8" s="118">
        <f>IF(AND(BU$5&gt;=$L8,BU$5&lt;=$N8),$K8,"")</f>
        <v/>
      </c>
      <c r="BV8" s="118">
        <f>IF(AND(BV$5&gt;=$L8,BV$5&lt;=$N8),$K8,"")</f>
        <v/>
      </c>
      <c r="BW8" s="118">
        <f>IF(AND(BW$5&gt;=$L8,BW$5&lt;=$N8),$K8,"")</f>
        <v/>
      </c>
      <c r="BX8" s="118">
        <f>IF(AND(BX$5&gt;=$L8,BX$5&lt;=$N8),$K8,"")</f>
        <v/>
      </c>
      <c r="BY8" s="123">
        <f>IF(AND(BY$5&gt;=$L8,BY$5&lt;=$N8),$K8,"")</f>
        <v/>
      </c>
      <c r="BZ8" s="123">
        <f>IF(AND(BZ$5&gt;=$L8,BZ$5&lt;=$N8),$K8,"")</f>
        <v/>
      </c>
    </row>
    <row r="9" s="74">
      <c r="A9" s="113" t="n"/>
      <c r="B9" s="106" t="n">
        <v>3</v>
      </c>
      <c r="C9" s="108" t="inlineStr">
        <is>
          <t>Монтаж геомембраны и устройство защитного слоя  основания РВС №13.12</t>
        </is>
      </c>
      <c r="D9" s="113" t="n"/>
      <c r="E9" s="120" t="n"/>
      <c r="F9" s="121" t="n"/>
      <c r="G9" s="121" t="n"/>
      <c r="H9" s="121" t="n"/>
      <c r="I9" s="121" t="n"/>
      <c r="J9" s="121" t="n"/>
      <c r="K9" s="113" t="n"/>
      <c r="L9" s="114" t="n">
        <v>46279</v>
      </c>
      <c r="M9" s="122" t="n">
        <v>1</v>
      </c>
      <c r="N9" s="114">
        <f>L9+M9-1</f>
        <v/>
      </c>
      <c r="O9" s="115">
        <f>IF(AND(O$5&gt;=$L9,O$5&lt;=$N9),$K9,"")</f>
        <v/>
      </c>
      <c r="P9" s="115">
        <f>IF(AND(P$5&gt;=$L9,P$5&lt;=$N9),$K9,"")</f>
        <v/>
      </c>
      <c r="Q9" s="115">
        <f>IF(AND(Q$5&gt;=$L9,Q$5&lt;=$N9),$K9,"")</f>
        <v/>
      </c>
      <c r="R9" s="115">
        <f>IF(AND(R$5&gt;=$L9,R$5&lt;=$N9),$K9,"")</f>
        <v/>
      </c>
      <c r="S9" s="115">
        <f>IF(AND(S$5&gt;=$L9,S$5&lt;=$N9),$K9,"")</f>
        <v/>
      </c>
      <c r="T9" s="115">
        <f>IF(AND(T$5&gt;=$L9,T$5&lt;=$N9),$K9,"")</f>
        <v/>
      </c>
      <c r="U9" s="115">
        <f>IF(AND(U$5&gt;=$L9,U$5&lt;=$N9),$K9,"")</f>
        <v/>
      </c>
      <c r="V9" s="115">
        <f>IF(AND(V$5&gt;=$L9,V$5&lt;=$N9),$K9,"")</f>
        <v/>
      </c>
      <c r="W9" s="115">
        <f>IF(AND(W$5&gt;=$L9,W$5&lt;=$N9),$K9,"")</f>
        <v/>
      </c>
      <c r="X9" s="115">
        <f>IF(AND(X$5&gt;=$L9,X$5&lt;=$N9),$K9,"")</f>
        <v/>
      </c>
      <c r="Y9" s="115">
        <f>IF(AND(Y$5&gt;=$L9,Y$5&lt;=$N9),$K9,"")</f>
        <v/>
      </c>
      <c r="Z9" s="115">
        <f>IF(AND(Z$5&gt;=$L9,Z$5&lt;=$N9),$K9,"")</f>
        <v/>
      </c>
      <c r="AA9" s="115">
        <f>IF(AND(AA$5&gt;=$L9,AA$5&lt;=$N9),$K9,"")</f>
        <v/>
      </c>
      <c r="AB9" s="124">
        <f>IF(AND(AB$5&gt;=$L9,AB$5&lt;=$N9),$K9,"")</f>
        <v/>
      </c>
      <c r="AC9" s="124">
        <f>IF(AND(AC$5&gt;=$L9,AC$5&lt;=$N9),$K9,"")</f>
        <v/>
      </c>
      <c r="AD9" s="115">
        <f>IF(AND(AD$5&gt;=$L9,AD$5&lt;=$N9),$K9,"")</f>
        <v/>
      </c>
      <c r="AE9" s="115">
        <f>IF(AND(AE$5&gt;=$L9,AE$5&lt;=$N9),$K9,"")</f>
        <v/>
      </c>
      <c r="AF9" s="115">
        <f>IF(AND(AF$5&gt;=$L9,AF$5&lt;=$N9),$K9,"")</f>
        <v/>
      </c>
      <c r="AG9" s="115">
        <f>IF(AND(AG$5&gt;=$L9,AG$5&lt;=$N9),$K9,"")</f>
        <v/>
      </c>
      <c r="AH9" s="115">
        <f>IF(AND(AH$5&gt;=$L9,AH$5&lt;=$N9),$K9,"")</f>
        <v/>
      </c>
      <c r="AI9" s="115">
        <f>IF(AND(AI$5&gt;=$L9,AI$5&lt;=$N9),$K9,"")</f>
        <v/>
      </c>
      <c r="AJ9" s="115">
        <f>IF(AND(AJ$5&gt;=$L9,AJ$5&lt;=$N9),$K9,"")</f>
        <v/>
      </c>
      <c r="AK9" s="115">
        <f>IF(AND(AK$5&gt;=$L9,AK$5&lt;=$N9),$K9,"")</f>
        <v/>
      </c>
      <c r="AL9" s="115">
        <f>IF(AND(AL$5&gt;=$L9,AL$5&lt;=$N9),$K9,"")</f>
        <v/>
      </c>
      <c r="AM9" s="115">
        <f>IF(AND(AM$5&gt;=$L9,AM$5&lt;=$N9),$K9,"")</f>
        <v/>
      </c>
      <c r="AN9" s="115">
        <f>IF(AND(AN$5&gt;=$L9,AN$5&lt;=$N9),$K9,"")</f>
        <v/>
      </c>
      <c r="AO9" s="115">
        <f>IF(AND(AO$5&gt;=$L9,AO$5&lt;=$N9),$K9,"")</f>
        <v/>
      </c>
      <c r="AP9" s="115">
        <f>IF(AND(AP$5&gt;=$L9,AP$5&lt;=$N9),$K9,"")</f>
        <v/>
      </c>
      <c r="AQ9" s="115">
        <f>IF(AND(AQ$5&gt;=$L9,AQ$5&lt;=$N9),$K9,"")</f>
        <v/>
      </c>
      <c r="AR9" s="115">
        <f>IF(AND(AR$5&gt;=$L9,AR$5&lt;=$N9),$K9,"")</f>
        <v/>
      </c>
      <c r="AS9" s="115">
        <f>IF(AND(AS$5&gt;=$L9,AS$5&lt;=$N9),$K9,"")</f>
        <v/>
      </c>
      <c r="AT9" s="115">
        <f>IF(AND(AT$5&gt;=$L9,AT$5&lt;=$N9),$K9,"")</f>
        <v/>
      </c>
      <c r="AU9" s="115">
        <f>IF(AND(AU$5&gt;=$L9,AU$5&lt;=$N9),$K9,"")</f>
        <v/>
      </c>
      <c r="AV9" s="116">
        <f>IF(AND(AV$5&gt;=$L9,AV$5&lt;=$N9),$K9,"")</f>
        <v/>
      </c>
      <c r="AW9" s="116">
        <f>IF(AND(AW$5&gt;=$L9,AW$5&lt;=$N9),$K9,"")</f>
        <v/>
      </c>
      <c r="AX9" s="116">
        <f>IF(AND(AX$5&gt;=$L9,AX$5&lt;=$N9),$K9,"")</f>
        <v/>
      </c>
      <c r="AY9" s="117">
        <f>IF(AND(AY$5&gt;=$L9,AY$5&lt;=$N9),$K9,"")</f>
        <v/>
      </c>
      <c r="AZ9" s="117">
        <f>IF(AND(AZ$5&gt;=$L9,AZ$5&lt;=$N9),$K9,"")</f>
        <v/>
      </c>
      <c r="BA9" s="117">
        <f>IF(AND(BA$5&gt;=$L9,BA$5&lt;=$N9),$K9,"")</f>
        <v/>
      </c>
      <c r="BB9" s="117">
        <f>IF(AND(BB$5&gt;=$L9,BB$5&lt;=$N9),$K9,"")</f>
        <v/>
      </c>
      <c r="BC9" s="117">
        <f>IF(AND(BC$5&gt;=$L9,BC$5&lt;=$N9),$K9,"")</f>
        <v/>
      </c>
      <c r="BD9" s="117">
        <f>IF(AND(BD$5&gt;=$L9,BD$5&lt;=$N9),$K9,"")</f>
        <v/>
      </c>
      <c r="BE9" s="117">
        <f>IF(AND(BE$5&gt;=$L9,BE$5&lt;=$N9),$K9,"")</f>
        <v/>
      </c>
      <c r="BF9" s="117">
        <f>IF(AND(BF$5&gt;=$L9,BF$5&lt;=$N9),$K9,"")</f>
        <v/>
      </c>
      <c r="BG9" s="118">
        <f>IF(AND(BG$5&gt;=$L9,BG$5&lt;=$N9),$K9,"")</f>
        <v/>
      </c>
      <c r="BH9" s="118">
        <f>IF(AND(BH$5&gt;=$L9,BH$5&lt;=$N9),$K9,"")</f>
        <v/>
      </c>
      <c r="BI9" s="118">
        <f>IF(AND(BI$5&gt;=$L9,BI$5&lt;=$N9),$K9,"")</f>
        <v/>
      </c>
      <c r="BJ9" s="118">
        <f>IF(AND(BJ$5&gt;=$L9,BJ$5&lt;=$N9),$K9,"")</f>
        <v/>
      </c>
      <c r="BK9" s="118">
        <f>IF(AND(BK$5&gt;=$L9,BK$5&lt;=$N9),$K9,"")</f>
        <v/>
      </c>
      <c r="BL9" s="118">
        <f>IF(AND(BL$5&gt;=$L9,BL$5&lt;=$N9),$K9,"")</f>
        <v/>
      </c>
      <c r="BM9" s="118">
        <f>IF(AND(BM$5&gt;=$L9,BM$5&lt;=$N9),$K9,"")</f>
        <v/>
      </c>
      <c r="BN9" s="118">
        <f>IF(AND(BN$5&gt;=$L9,BN$5&lt;=$N9),$K9,"")</f>
        <v/>
      </c>
      <c r="BO9" s="118">
        <f>IF(AND(BO$5&gt;=$L9,BO$5&lt;=$N9),$K9,"")</f>
        <v/>
      </c>
      <c r="BP9" s="118">
        <f>IF(AND(BP$5&gt;=$L9,BP$5&lt;=$N9),$K9,"")</f>
        <v/>
      </c>
      <c r="BQ9" s="118">
        <f>IF(AND(BQ$5&gt;=$L9,BQ$5&lt;=$N9),$K9,"")</f>
        <v/>
      </c>
      <c r="BR9" s="118">
        <f>IF(AND(BR$5&gt;=$L9,BR$5&lt;=$N9),$K9,"")</f>
        <v/>
      </c>
      <c r="BS9" s="118">
        <f>IF(AND(BS$5&gt;=$L9,BS$5&lt;=$N9),$K9,"")</f>
        <v/>
      </c>
      <c r="BT9" s="118">
        <f>IF(AND(BT$5&gt;=$L9,BT$5&lt;=$N9),$K9,"")</f>
        <v/>
      </c>
      <c r="BU9" s="118">
        <f>IF(AND(BU$5&gt;=$L9,BU$5&lt;=$N9),$K9,"")</f>
        <v/>
      </c>
      <c r="BV9" s="118">
        <f>IF(AND(BV$5&gt;=$L9,BV$5&lt;=$N9),$K9,"")</f>
        <v/>
      </c>
      <c r="BW9" s="118">
        <f>IF(AND(BW$5&gt;=$L9,BW$5&lt;=$N9),$K9,"")</f>
        <v/>
      </c>
      <c r="BX9" s="118">
        <f>IF(AND(BX$5&gt;=$L9,BX$5&lt;=$N9),$K9,"")</f>
        <v/>
      </c>
      <c r="BY9" s="118">
        <f>IF(AND(BY$5&gt;=$L9,BY$5&lt;=$N9),$K9,"")</f>
        <v/>
      </c>
      <c r="BZ9" s="118">
        <f>IF(AND(BZ$5&gt;=$L9,BZ$5&lt;=$N9),$K9,"")</f>
        <v/>
      </c>
    </row>
    <row r="10" s="74">
      <c r="A10" s="102" t="n"/>
      <c r="B10" s="106" t="n">
        <v>4</v>
      </c>
      <c r="C10" s="108" t="inlineStr">
        <is>
          <t>Монтаж геомембраны и устройство защитного слоя  основания РВС№13.11</t>
        </is>
      </c>
      <c r="D10" s="102" t="n"/>
      <c r="E10" s="102" t="n"/>
      <c r="F10" s="102" t="n"/>
      <c r="G10" s="102" t="n"/>
      <c r="H10" s="102" t="n"/>
      <c r="I10" s="102" t="n"/>
      <c r="J10" s="102" t="n"/>
      <c r="K10" s="103" t="n"/>
      <c r="L10" s="109" t="n">
        <v>46281</v>
      </c>
      <c r="M10" s="106" t="n">
        <v>1</v>
      </c>
      <c r="N10" s="109">
        <f>L10+M10-1</f>
        <v/>
      </c>
      <c r="O10" s="115">
        <f>IF(AND(O$5&gt;=$L10,O$5&lt;=$N10),$K10,"")</f>
        <v/>
      </c>
      <c r="P10" s="115">
        <f>IF(AND(P$5&gt;=$L10,P$5&lt;=$N10),$K10,"")</f>
        <v/>
      </c>
      <c r="Q10" s="115">
        <f>IF(AND(Q$5&gt;=$L10,Q$5&lt;=$N10),$K10,"")</f>
        <v/>
      </c>
      <c r="R10" s="115">
        <f>IF(AND(R$5&gt;=$L10,R$5&lt;=$N10),$K10,"")</f>
        <v/>
      </c>
      <c r="S10" s="115">
        <f>IF(AND(S$5&gt;=$L10,S$5&lt;=$N10),$K10,"")</f>
        <v/>
      </c>
      <c r="T10" s="115">
        <f>IF(AND(T$5&gt;=$L10,T$5&lt;=$N10),$K10,"")</f>
        <v/>
      </c>
      <c r="U10" s="115">
        <f>IF(AND(U$5&gt;=$L10,U$5&lt;=$N10),$K10,"")</f>
        <v/>
      </c>
      <c r="V10" s="115">
        <f>IF(AND(V$5&gt;=$L10,V$5&lt;=$N10),$K10,"")</f>
        <v/>
      </c>
      <c r="W10" s="115">
        <f>IF(AND(W$5&gt;=$L10,W$5&lt;=$N10),$K10,"")</f>
        <v/>
      </c>
      <c r="X10" s="115">
        <f>IF(AND(X$5&gt;=$L10,X$5&lt;=$N10),$K10,"")</f>
        <v/>
      </c>
      <c r="Y10" s="115">
        <f>IF(AND(Y$5&gt;=$L10,Y$5&lt;=$N10),$K10,"")</f>
        <v/>
      </c>
      <c r="Z10" s="115">
        <f>IF(AND(Z$5&gt;=$L10,Z$5&lt;=$N10),$K10,"")</f>
        <v/>
      </c>
      <c r="AA10" s="115">
        <f>IF(AND(AA$5&gt;=$L10,AA$5&lt;=$N10),$K10,"")</f>
        <v/>
      </c>
      <c r="AB10" s="115">
        <f>IF(AND(AB$5&gt;=$L10,AB$5&lt;=$N10),$K10,"")</f>
        <v/>
      </c>
      <c r="AC10" s="115">
        <f>IF(AND(AC$5&gt;=$L10,AC$5&lt;=$N10),$K10,"")</f>
        <v/>
      </c>
      <c r="AD10" s="115">
        <f>IF(AND(AD$5&gt;=$L10,AD$5&lt;=$N10),$K10,"")</f>
        <v/>
      </c>
      <c r="AE10" s="115">
        <f>IF(AND(AE$5&gt;=$L10,AE$5&lt;=$N10),$K10,"")</f>
        <v/>
      </c>
      <c r="AF10" s="115">
        <f>IF(AND(AF$5&gt;=$L10,AF$5&lt;=$N10),$K10,"")</f>
        <v/>
      </c>
      <c r="AG10" s="115">
        <f>IF(AND(AG$5&gt;=$L10,AG$5&lt;=$N10),$K10,"")</f>
        <v/>
      </c>
      <c r="AH10" s="115">
        <f>IF(AND(AH$5&gt;=$L10,AH$5&lt;=$N10),$K10,"")</f>
        <v/>
      </c>
      <c r="AI10" s="115">
        <f>IF(AND(AI$5&gt;=$L10,AI$5&lt;=$N10),$K10,"")</f>
        <v/>
      </c>
      <c r="AJ10" s="115">
        <f>IF(AND(AJ$5&gt;=$L10,AJ$5&lt;=$N10),$K10,"")</f>
        <v/>
      </c>
      <c r="AK10" s="115">
        <f>IF(AND(AK$5&gt;=$L10,AK$5&lt;=$N10),$K10,"")</f>
        <v/>
      </c>
      <c r="AL10" s="115">
        <f>IF(AND(AL$5&gt;=$L10,AL$5&lt;=$N10),$K10,"")</f>
        <v/>
      </c>
      <c r="AM10" s="115">
        <f>IF(AND(AM$5&gt;=$L10,AM$5&lt;=$N10),$K10,"")</f>
        <v/>
      </c>
      <c r="AN10" s="115">
        <f>IF(AND(AN$5&gt;=$L10,AN$5&lt;=$N10),$K10,"")</f>
        <v/>
      </c>
      <c r="AO10" s="115">
        <f>IF(AND(AO$5&gt;=$L10,AO$5&lt;=$N10),$K10,"")</f>
        <v/>
      </c>
      <c r="AP10" s="115">
        <f>IF(AND(AP$5&gt;=$L10,AP$5&lt;=$N10),$K10,"")</f>
        <v/>
      </c>
      <c r="AQ10" s="115">
        <f>IF(AND(AQ$5&gt;=$L10,AQ$5&lt;=$N10),$K10,"")</f>
        <v/>
      </c>
      <c r="AR10" s="115">
        <f>IF(AND(AR$5&gt;=$L10,AR$5&lt;=$N10),$K10,"")</f>
        <v/>
      </c>
      <c r="AS10" s="115">
        <f>IF(AND(AS$5&gt;=$L10,AS$5&lt;=$N10),$K10,"")</f>
        <v/>
      </c>
      <c r="AT10" s="115">
        <f>IF(AND(AT$5&gt;=$L10,AT$5&lt;=$N10),$K10,"")</f>
        <v/>
      </c>
      <c r="AU10" s="115">
        <f>IF(AND(AU$5&gt;=$L10,AU$5&lt;=$N10),$K10,"")</f>
        <v/>
      </c>
      <c r="AV10" s="116">
        <f>IF(AND(AV$5&gt;=$L10,AV$5&lt;=$N10),$K10,"")</f>
        <v/>
      </c>
      <c r="AW10" s="116">
        <f>IF(AND(AW$5&gt;=$L10,AW$5&lt;=$N10),$K10,"")</f>
        <v/>
      </c>
      <c r="AX10" s="116">
        <f>IF(AND(AX$5&gt;=$L10,AX$5&lt;=$N10),$K10,"")</f>
        <v/>
      </c>
      <c r="AY10" s="117">
        <f>IF(AND(AY$5&gt;=$L10,AY$5&lt;=$N10),$K10,"")</f>
        <v/>
      </c>
      <c r="AZ10" s="117">
        <f>IF(AND(AZ$5&gt;=$L10,AZ$5&lt;=$N10),$K10,"")</f>
        <v/>
      </c>
      <c r="BA10" s="117">
        <f>IF(AND(BA$5&gt;=$L10,BA$5&lt;=$N10),$K10,"")</f>
        <v/>
      </c>
      <c r="BB10" s="117">
        <f>IF(AND(BB$5&gt;=$L10,BB$5&lt;=$N10),$K10,"")</f>
        <v/>
      </c>
      <c r="BC10" s="117">
        <f>IF(AND(BC$5&gt;=$L10,BC$5&lt;=$N10),$K10,"")</f>
        <v/>
      </c>
      <c r="BD10" s="117">
        <f>IF(AND(BD$5&gt;=$L10,BD$5&lt;=$N10),$K10,"")</f>
        <v/>
      </c>
      <c r="BE10" s="117">
        <f>IF(AND(BE$5&gt;=$L10,BE$5&lt;=$N10),$K10,"")</f>
        <v/>
      </c>
      <c r="BF10" s="117">
        <f>IF(AND(BF$5&gt;=$L10,BF$5&lt;=$N10),$K10,"")</f>
        <v/>
      </c>
      <c r="BG10" s="118">
        <f>IF(AND(BG$5&gt;=$L10,BG$5&lt;=$N10),$K10,"")</f>
        <v/>
      </c>
      <c r="BH10" s="118">
        <f>IF(AND(BH$5&gt;=$L10,BH$5&lt;=$N10),$K10,"")</f>
        <v/>
      </c>
      <c r="BI10" s="118">
        <f>IF(AND(BI$5&gt;=$L10,BI$5&lt;=$N10),$K10,"")</f>
        <v/>
      </c>
      <c r="BJ10" s="118">
        <f>IF(AND(BJ$5&gt;=$L10,BJ$5&lt;=$N10),$K10,"")</f>
        <v/>
      </c>
      <c r="BK10" s="118">
        <f>IF(AND(BK$5&gt;=$L10,BK$5&lt;=$N10),$K10,"")</f>
        <v/>
      </c>
      <c r="BL10" s="118">
        <f>IF(AND(BL$5&gt;=$L10,BL$5&lt;=$N10),$K10,"")</f>
        <v/>
      </c>
      <c r="BM10" s="118">
        <f>IF(AND(BM$5&gt;=$L10,BM$5&lt;=$N10),$K10,"")</f>
        <v/>
      </c>
      <c r="BN10" s="118">
        <f>IF(AND(BN$5&gt;=$L10,BN$5&lt;=$N10),$K10,"")</f>
        <v/>
      </c>
      <c r="BO10" s="118">
        <f>IF(AND(BO$5&gt;=$L10,BO$5&lt;=$N10),$K10,"")</f>
        <v/>
      </c>
      <c r="BP10" s="118">
        <f>IF(AND(BP$5&gt;=$L10,BP$5&lt;=$N10),$K10,"")</f>
        <v/>
      </c>
      <c r="BQ10" s="118">
        <f>IF(AND(BQ$5&gt;=$L10,BQ$5&lt;=$N10),$K10,"")</f>
        <v/>
      </c>
      <c r="BR10" s="118">
        <f>IF(AND(BR$5&gt;=$L10,BR$5&lt;=$N10),$K10,"")</f>
        <v/>
      </c>
      <c r="BS10" s="118">
        <f>IF(AND(BS$5&gt;=$L10,BS$5&lt;=$N10),$K10,"")</f>
        <v/>
      </c>
      <c r="BT10" s="118">
        <f>IF(AND(BT$5&gt;=$L10,BT$5&lt;=$N10),$K10,"")</f>
        <v/>
      </c>
      <c r="BU10" s="118">
        <f>IF(AND(BU$5&gt;=$L10,BU$5&lt;=$N10),$K10,"")</f>
        <v/>
      </c>
      <c r="BV10" s="118">
        <f>IF(AND(BV$5&gt;=$L10,BV$5&lt;=$N10),$K10,"")</f>
        <v/>
      </c>
      <c r="BW10" s="118">
        <f>IF(AND(BW$5&gt;=$L10,BW$5&lt;=$N10),$K10,"")</f>
        <v/>
      </c>
      <c r="BX10" s="118">
        <f>IF(AND(BX$5&gt;=$L10,BX$5&lt;=$N10),$K10,"")</f>
        <v/>
      </c>
      <c r="BY10" s="125">
        <f>IF(AND(BY$5&gt;=$L10,BY$5&lt;=$N10),$K10,"")</f>
        <v/>
      </c>
      <c r="BZ10" s="125">
        <f>IF(AND(BZ$5&gt;=$L10,BZ$5&lt;=$N10),$K10,"")</f>
        <v/>
      </c>
      <c r="CC10" s="73" t="n"/>
      <c r="CD10" s="73" t="n"/>
      <c r="CE10" s="73" t="n"/>
    </row>
    <row r="11" s="74">
      <c r="A11" s="113" t="n"/>
      <c r="B11" s="106" t="n">
        <v>5</v>
      </c>
      <c r="C11" s="126" t="inlineStr">
        <is>
          <t>Устройство гидрофобного слоя из асфальтобетона РВС №13.11, №13.12</t>
        </is>
      </c>
      <c r="D11" s="113" t="n"/>
      <c r="E11" s="120" t="n"/>
      <c r="F11" s="121" t="n"/>
      <c r="G11" s="121" t="n"/>
      <c r="H11" s="121" t="n"/>
      <c r="I11" s="121" t="n"/>
      <c r="J11" s="121" t="n"/>
      <c r="K11" s="113" t="n"/>
      <c r="L11" s="114" t="n">
        <v>46283</v>
      </c>
      <c r="M11" s="122" t="n">
        <v>2</v>
      </c>
      <c r="N11" s="114">
        <f>L11+M11-1</f>
        <v/>
      </c>
      <c r="O11" s="115">
        <f>IF(AND(O$5&gt;=$L11,O$5&lt;=$N11),$K11,"")</f>
        <v/>
      </c>
      <c r="P11" s="115">
        <f>IF(AND(P$5&gt;=$L11,P$5&lt;=$N11),$K11,"")</f>
        <v/>
      </c>
      <c r="Q11" s="115">
        <f>IF(AND(Q$5&gt;=$L11,Q$5&lt;=$N11),$K11,"")</f>
        <v/>
      </c>
      <c r="R11" s="115">
        <f>IF(AND(R$5&gt;=$L11,R$5&lt;=$N11),$K11,"")</f>
        <v/>
      </c>
      <c r="S11" s="115">
        <f>IF(AND(S$5&gt;=$L11,S$5&lt;=$N11),$K11,"")</f>
        <v/>
      </c>
      <c r="T11" s="115">
        <f>IF(AND(T$5&gt;=$L11,T$5&lt;=$N11),$K11,"")</f>
        <v/>
      </c>
      <c r="U11" s="115">
        <f>IF(AND(U$5&gt;=$L11,U$5&lt;=$N11),$K11,"")</f>
        <v/>
      </c>
      <c r="V11" s="115">
        <f>IF(AND(V$5&gt;=$L11,V$5&lt;=$N11),$K11,"")</f>
        <v/>
      </c>
      <c r="W11" s="115">
        <f>IF(AND(W$5&gt;=$L11,W$5&lt;=$N11),$K11,"")</f>
        <v/>
      </c>
      <c r="X11" s="115">
        <f>IF(AND(X$5&gt;=$L11,X$5&lt;=$N11),$K11,"")</f>
        <v/>
      </c>
      <c r="Y11" s="115">
        <f>IF(AND(Y$5&gt;=$L11,Y$5&lt;=$N11),$K11,"")</f>
        <v/>
      </c>
      <c r="Z11" s="115">
        <f>IF(AND(Z$5&gt;=$L11,Z$5&lt;=$N11),$K11,"")</f>
        <v/>
      </c>
      <c r="AA11" s="115">
        <f>IF(AND(AA$5&gt;=$L11,AA$5&lt;=$N11),$K11,"")</f>
        <v/>
      </c>
      <c r="AB11" s="115">
        <f>IF(AND(AB$5&gt;=$L11,AB$5&lt;=$N11),$K11,"")</f>
        <v/>
      </c>
      <c r="AC11" s="115">
        <f>IF(AND(AC$5&gt;=$L11,AC$5&lt;=$N11),$K11,"")</f>
        <v/>
      </c>
      <c r="AD11" s="115">
        <f>IF(AND(AD$5&gt;=$L11,AD$5&lt;=$N11),$K11,"")</f>
        <v/>
      </c>
      <c r="AE11" s="115">
        <f>IF(AND(AE$5&gt;=$L11,AE$5&lt;=$N11),$K11,"")</f>
        <v/>
      </c>
      <c r="AF11" s="115">
        <f>IF(AND(AF$5&gt;=$L11,AF$5&lt;=$N11),$K11,"")</f>
        <v/>
      </c>
      <c r="AG11" s="115">
        <f>IF(AND(AG$5&gt;=$L11,AG$5&lt;=$N11),$K11,"")</f>
        <v/>
      </c>
      <c r="AH11" s="115">
        <f>IF(AND(AH$5&gt;=$L11,AH$5&lt;=$N11),$K11,"")</f>
        <v/>
      </c>
      <c r="AI11" s="115">
        <f>IF(AND(AI$5&gt;=$L11,AI$5&lt;=$N11),$K11,"")</f>
        <v/>
      </c>
      <c r="AJ11" s="115">
        <f>IF(AND(AJ$5&gt;=$L11,AJ$5&lt;=$N11),$K11,"")</f>
        <v/>
      </c>
      <c r="AK11" s="115">
        <f>IF(AND(AK$5&gt;=$L11,AK$5&lt;=$N11),$K11,"")</f>
        <v/>
      </c>
      <c r="AL11" s="115">
        <f>IF(AND(AL$5&gt;=$L11,AL$5&lt;=$N11),$K11,"")</f>
        <v/>
      </c>
      <c r="AM11" s="115">
        <f>IF(AND(AM$5&gt;=$L11,AM$5&lt;=$N11),$K11,"")</f>
        <v/>
      </c>
      <c r="AN11" s="115">
        <f>IF(AND(AN$5&gt;=$L11,AN$5&lt;=$N11),$K11,"")</f>
        <v/>
      </c>
      <c r="AO11" s="115">
        <f>IF(AND(AO$5&gt;=$L11,AO$5&lt;=$N11),$K11,"")</f>
        <v/>
      </c>
      <c r="AP11" s="115">
        <f>IF(AND(AP$5&gt;=$L11,AP$5&lt;=$N11),$K11,"")</f>
        <v/>
      </c>
      <c r="AQ11" s="115">
        <f>IF(AND(AQ$5&gt;=$L11,AQ$5&lt;=$N11),$K11,"")</f>
        <v/>
      </c>
      <c r="AR11" s="115">
        <f>IF(AND(AR$5&gt;=$L11,AR$5&lt;=$N11),$K11,"")</f>
        <v/>
      </c>
      <c r="AS11" s="115">
        <f>IF(AND(AS$5&gt;=$L11,AS$5&lt;=$N11),$K11,"")</f>
        <v/>
      </c>
      <c r="AT11" s="115">
        <f>IF(AND(AT$5&gt;=$L11,AT$5&lt;=$N11),$K11,"")</f>
        <v/>
      </c>
      <c r="AU11" s="115">
        <f>IF(AND(AU$5&gt;=$L11,AU$5&lt;=$N11),$K11,"")</f>
        <v/>
      </c>
      <c r="AV11" s="116">
        <f>IF(AND(AV$5&gt;=$L11,AV$5&lt;=$N11),$K11,"")</f>
        <v/>
      </c>
      <c r="AW11" s="116">
        <f>IF(AND(AW$5&gt;=$L11,AW$5&lt;=$N11),$K11,"")</f>
        <v/>
      </c>
      <c r="AX11" s="116">
        <f>IF(AND(AX$5&gt;=$L11,AX$5&lt;=$N11),$K11,"")</f>
        <v/>
      </c>
      <c r="AY11" s="117">
        <f>IF(AND(AY$5&gt;=$L11,AY$5&lt;=$N11),$K11,"")</f>
        <v/>
      </c>
      <c r="AZ11" s="117">
        <f>IF(AND(AZ$5&gt;=$L11,AZ$5&lt;=$N11),$K11,"")</f>
        <v/>
      </c>
      <c r="BA11" s="117">
        <f>IF(AND(BA$5&gt;=$L11,BA$5&lt;=$N11),$K11,"")</f>
        <v/>
      </c>
      <c r="BB11" s="117">
        <f>IF(AND(BB$5&gt;=$L11,BB$5&lt;=$N11),$K11,"")</f>
        <v/>
      </c>
      <c r="BC11" s="117">
        <f>IF(AND(BC$5&gt;=$L11,BC$5&lt;=$N11),$K11,"")</f>
        <v/>
      </c>
      <c r="BD11" s="117">
        <f>IF(AND(BD$5&gt;=$L11,BD$5&lt;=$N11),$K11,"")</f>
        <v/>
      </c>
      <c r="BE11" s="117">
        <f>IF(AND(BE$5&gt;=$L11,BE$5&lt;=$N11),$K11,"")</f>
        <v/>
      </c>
      <c r="BF11" s="117">
        <f>IF(AND(BF$5&gt;=$L11,BF$5&lt;=$N11),$K11,"")</f>
        <v/>
      </c>
      <c r="BG11" s="118">
        <f>IF(AND(BG$5&gt;=$L11,BG$5&lt;=$N11),$K11,"")</f>
        <v/>
      </c>
      <c r="BH11" s="118">
        <f>IF(AND(BH$5&gt;=$L11,BH$5&lt;=$N11),$K11,"")</f>
        <v/>
      </c>
      <c r="BI11" s="118">
        <f>IF(AND(BI$5&gt;=$L11,BI$5&lt;=$N11),$K11,"")</f>
        <v/>
      </c>
      <c r="BJ11" s="118">
        <f>IF(AND(BJ$5&gt;=$L11,BJ$5&lt;=$N11),$K11,"")</f>
        <v/>
      </c>
      <c r="BK11" s="118">
        <f>IF(AND(BK$5&gt;=$L11,BK$5&lt;=$N11),$K11,"")</f>
        <v/>
      </c>
      <c r="BL11" s="118">
        <f>IF(AND(BL$5&gt;=$L11,BL$5&lt;=$N11),$K11,"")</f>
        <v/>
      </c>
      <c r="BM11" s="118">
        <f>IF(AND(BM$5&gt;=$L11,BM$5&lt;=$N11),$K11,"")</f>
        <v/>
      </c>
      <c r="BN11" s="118">
        <f>IF(AND(BN$5&gt;=$L11,BN$5&lt;=$N11),$K11,"")</f>
        <v/>
      </c>
      <c r="BO11" s="118">
        <f>IF(AND(BO$5&gt;=$L11,BO$5&lt;=$N11),$K11,"")</f>
        <v/>
      </c>
      <c r="BP11" s="118">
        <f>IF(AND(BP$5&gt;=$L11,BP$5&lt;=$N11),$K11,"")</f>
        <v/>
      </c>
      <c r="BQ11" s="118">
        <f>IF(AND(BQ$5&gt;=$L11,BQ$5&lt;=$N11),$K11,"")</f>
        <v/>
      </c>
      <c r="BR11" s="118">
        <f>IF(AND(BR$5&gt;=$L11,BR$5&lt;=$N11),$K11,"")</f>
        <v/>
      </c>
      <c r="BS11" s="118">
        <f>IF(AND(BS$5&gt;=$L11,BS$5&lt;=$N11),$K11,"")</f>
        <v/>
      </c>
      <c r="BT11" s="118">
        <f>IF(AND(BT$5&gt;=$L11,BT$5&lt;=$N11),$K11,"")</f>
        <v/>
      </c>
      <c r="BU11" s="118">
        <f>IF(AND(BU$5&gt;=$L11,BU$5&lt;=$N11),$K11,"")</f>
        <v/>
      </c>
      <c r="BV11" s="118">
        <f>IF(AND(BV$5&gt;=$L11,BV$5&lt;=$N11),$K11,"")</f>
        <v/>
      </c>
      <c r="BW11" s="118">
        <f>IF(AND(BW$5&gt;=$L11,BW$5&lt;=$N11),$K11,"")</f>
        <v/>
      </c>
      <c r="BX11" s="118">
        <f>IF(AND(BX$5&gt;=$L11,BX$5&lt;=$N11),$K11,"")</f>
        <v/>
      </c>
      <c r="BY11" s="118">
        <f>IF(AND(BY$5&gt;=$L11,BY$5&lt;=$N11),$K11,"")</f>
        <v/>
      </c>
      <c r="BZ11" s="118">
        <f>IF(AND(BZ$5&gt;=$L11,BZ$5&lt;=$N11),$K11,"")</f>
        <v/>
      </c>
    </row>
    <row r="12" s="74">
      <c r="A12" s="113" t="n"/>
      <c r="B12" s="106" t="n">
        <v>6</v>
      </c>
      <c r="C12" s="108" t="inlineStr">
        <is>
          <t>Монтаж геомембраны и устройство защитного слоя  основания РВС №13.10</t>
        </is>
      </c>
      <c r="D12" s="113" t="n"/>
      <c r="E12" s="120" t="n"/>
      <c r="F12" s="121" t="n"/>
      <c r="G12" s="121" t="n"/>
      <c r="H12" s="121" t="n"/>
      <c r="I12" s="121" t="n"/>
      <c r="J12" s="121" t="n"/>
      <c r="K12" s="113" t="n"/>
      <c r="L12" s="114" t="n">
        <v>46283</v>
      </c>
      <c r="M12" s="122" t="n">
        <v>2</v>
      </c>
      <c r="N12" s="114">
        <f>L12+M12-1</f>
        <v/>
      </c>
      <c r="O12" s="115">
        <f>IF(AND(O$5&gt;=$L12,O$5&lt;=$N12),$K12,"")</f>
        <v/>
      </c>
      <c r="P12" s="115">
        <f>IF(AND(P$5&gt;=$L12,P$5&lt;=$N12),$K12,"")</f>
        <v/>
      </c>
      <c r="Q12" s="115">
        <f>IF(AND(Q$5&gt;=$L12,Q$5&lt;=$N12),$K12,"")</f>
        <v/>
      </c>
      <c r="R12" s="115">
        <f>IF(AND(R$5&gt;=$L12,R$5&lt;=$N12),$K12,"")</f>
        <v/>
      </c>
      <c r="S12" s="115">
        <f>IF(AND(S$5&gt;=$L12,S$5&lt;=$N12),$K12,"")</f>
        <v/>
      </c>
      <c r="T12" s="115">
        <f>IF(AND(T$5&gt;=$L12,T$5&lt;=$N12),$K12,"")</f>
        <v/>
      </c>
      <c r="U12" s="115">
        <f>IF(AND(U$5&gt;=$L12,U$5&lt;=$N12),$K12,"")</f>
        <v/>
      </c>
      <c r="V12" s="115">
        <f>IF(AND(V$5&gt;=$L12,V$5&lt;=$N12),$K12,"")</f>
        <v/>
      </c>
      <c r="W12" s="115">
        <f>IF(AND(W$5&gt;=$L12,W$5&lt;=$N12),$K12,"")</f>
        <v/>
      </c>
      <c r="X12" s="115">
        <f>IF(AND(X$5&gt;=$L12,X$5&lt;=$N12),$K12,"")</f>
        <v/>
      </c>
      <c r="Y12" s="115">
        <f>IF(AND(Y$5&gt;=$L12,Y$5&lt;=$N12),$K12,"")</f>
        <v/>
      </c>
      <c r="Z12" s="115">
        <f>IF(AND(Z$5&gt;=$L12,Z$5&lt;=$N12),$K12,"")</f>
        <v/>
      </c>
      <c r="AA12" s="115">
        <f>IF(AND(AA$5&gt;=$L12,AA$5&lt;=$N12),$K12,"")</f>
        <v/>
      </c>
      <c r="AB12" s="115">
        <f>IF(AND(AB$5&gt;=$L12,AB$5&lt;=$N12),$K12,"")</f>
        <v/>
      </c>
      <c r="AC12" s="115">
        <f>IF(AND(AC$5&gt;=$L12,AC$5&lt;=$N12),$K12,"")</f>
        <v/>
      </c>
      <c r="AD12" s="115">
        <f>IF(AND(AD$5&gt;=$L12,AD$5&lt;=$N12),$K12,"")</f>
        <v/>
      </c>
      <c r="AE12" s="115">
        <f>IF(AND(AE$5&gt;=$L12,AE$5&lt;=$N12),$K12,"")</f>
        <v/>
      </c>
      <c r="AF12" s="115">
        <f>IF(AND(AF$5&gt;=$L12,AF$5&lt;=$N12),$K12,"")</f>
        <v/>
      </c>
      <c r="AG12" s="115">
        <f>IF(AND(AG$5&gt;=$L12,AG$5&lt;=$N12),$K12,"")</f>
        <v/>
      </c>
      <c r="AH12" s="115">
        <f>IF(AND(AH$5&gt;=$L12,AH$5&lt;=$N12),$K12,"")</f>
        <v/>
      </c>
      <c r="AI12" s="115">
        <f>IF(AND(AI$5&gt;=$L12,AI$5&lt;=$N12),$K12,"")</f>
        <v/>
      </c>
      <c r="AJ12" s="115">
        <f>IF(AND(AJ$5&gt;=$L12,AJ$5&lt;=$N12),$K12,"")</f>
        <v/>
      </c>
      <c r="AK12" s="115">
        <f>IF(AND(AK$5&gt;=$L12,AK$5&lt;=$N12),$K12,"")</f>
        <v/>
      </c>
      <c r="AL12" s="115">
        <f>IF(AND(AL$5&gt;=$L12,AL$5&lt;=$N12),$K12,"")</f>
        <v/>
      </c>
      <c r="AM12" s="115">
        <f>IF(AND(AM$5&gt;=$L12,AM$5&lt;=$N12),$K12,"")</f>
        <v/>
      </c>
      <c r="AN12" s="115">
        <f>IF(AND(AN$5&gt;=$L12,AN$5&lt;=$N12),$K12,"")</f>
        <v/>
      </c>
      <c r="AO12" s="115">
        <f>IF(AND(AO$5&gt;=$L12,AO$5&lt;=$N12),$K12,"")</f>
        <v/>
      </c>
      <c r="AP12" s="115">
        <f>IF(AND(AP$5&gt;=$L12,AP$5&lt;=$N12),$K12,"")</f>
        <v/>
      </c>
      <c r="AQ12" s="115">
        <f>IF(AND(AQ$5&gt;=$L12,AQ$5&lt;=$N12),$K12,"")</f>
        <v/>
      </c>
      <c r="AR12" s="115">
        <f>IF(AND(AR$5&gt;=$L12,AR$5&lt;=$N12),$K12,"")</f>
        <v/>
      </c>
      <c r="AS12" s="115">
        <f>IF(AND(AS$5&gt;=$L12,AS$5&lt;=$N12),$K12,"")</f>
        <v/>
      </c>
      <c r="AT12" s="115">
        <f>IF(AND(AT$5&gt;=$L12,AT$5&lt;=$N12),$K12,"")</f>
        <v/>
      </c>
      <c r="AU12" s="115">
        <f>IF(AND(AU$5&gt;=$L12,AU$5&lt;=$N12),$K12,"")</f>
        <v/>
      </c>
      <c r="AV12" s="116">
        <f>IF(AND(AV$5&gt;=$L12,AV$5&lt;=$N12),$K12,"")</f>
        <v/>
      </c>
      <c r="AW12" s="116">
        <f>IF(AND(AW$5&gt;=$L12,AW$5&lt;=$N12),$K12,"")</f>
        <v/>
      </c>
      <c r="AX12" s="116">
        <f>IF(AND(AX$5&gt;=$L12,AX$5&lt;=$N12),$K12,"")</f>
        <v/>
      </c>
      <c r="AY12" s="117">
        <f>IF(AND(AY$5&gt;=$L12,AY$5&lt;=$N12),$K12,"")</f>
        <v/>
      </c>
      <c r="AZ12" s="117">
        <f>IF(AND(AZ$5&gt;=$L12,AZ$5&lt;=$N12),$K12,"")</f>
        <v/>
      </c>
      <c r="BA12" s="117">
        <f>IF(AND(BA$5&gt;=$L12,BA$5&lt;=$N12),$K12,"")</f>
        <v/>
      </c>
      <c r="BB12" s="117">
        <f>IF(AND(BB$5&gt;=$L12,BB$5&lt;=$N12),$K12,"")</f>
        <v/>
      </c>
      <c r="BC12" s="117">
        <f>IF(AND(BC$5&gt;=$L12,BC$5&lt;=$N12),$K12,"")</f>
        <v/>
      </c>
      <c r="BD12" s="117">
        <f>IF(AND(BD$5&gt;=$L12,BD$5&lt;=$N12),$K12,"")</f>
        <v/>
      </c>
      <c r="BE12" s="117">
        <f>IF(AND(BE$5&gt;=$L12,BE$5&lt;=$N12),$K12,"")</f>
        <v/>
      </c>
      <c r="BF12" s="117">
        <f>IF(AND(BF$5&gt;=$L12,BF$5&lt;=$N12),$K12,"")</f>
        <v/>
      </c>
      <c r="BG12" s="118">
        <f>IF(AND(BG$5&gt;=$L12,BG$5&lt;=$N12),$K12,"")</f>
        <v/>
      </c>
      <c r="BH12" s="118">
        <f>IF(AND(BH$5&gt;=$L12,BH$5&lt;=$N12),$K12,"")</f>
        <v/>
      </c>
      <c r="BI12" s="118">
        <f>IF(AND(BI$5&gt;=$L12,BI$5&lt;=$N12),$K12,"")</f>
        <v/>
      </c>
      <c r="BJ12" s="118">
        <f>IF(AND(BJ$5&gt;=$L12,BJ$5&lt;=$N12),$K12,"")</f>
        <v/>
      </c>
      <c r="BK12" s="118">
        <f>IF(AND(BK$5&gt;=$L12,BK$5&lt;=$N12),$K12,"")</f>
        <v/>
      </c>
      <c r="BL12" s="118">
        <f>IF(AND(BL$5&gt;=$L12,BL$5&lt;=$N12),$K12,"")</f>
        <v/>
      </c>
      <c r="BM12" s="118">
        <f>IF(AND(BM$5&gt;=$L12,BM$5&lt;=$N12),$K12,"")</f>
        <v/>
      </c>
      <c r="BN12" s="118">
        <f>IF(AND(BN$5&gt;=$L12,BN$5&lt;=$N12),$K12,"")</f>
        <v/>
      </c>
      <c r="BO12" s="118">
        <f>IF(AND(BO$5&gt;=$L12,BO$5&lt;=$N12),$K12,"")</f>
        <v/>
      </c>
      <c r="BP12" s="118">
        <f>IF(AND(BP$5&gt;=$L12,BP$5&lt;=$N12),$K12,"")</f>
        <v/>
      </c>
      <c r="BQ12" s="118">
        <f>IF(AND(BQ$5&gt;=$L12,BQ$5&lt;=$N12),$K12,"")</f>
        <v/>
      </c>
      <c r="BR12" s="118">
        <f>IF(AND(BR$5&gt;=$L12,BR$5&lt;=$N12),$K12,"")</f>
        <v/>
      </c>
      <c r="BS12" s="118">
        <f>IF(AND(BS$5&gt;=$L12,BS$5&lt;=$N12),$K12,"")</f>
        <v/>
      </c>
      <c r="BT12" s="118">
        <f>IF(AND(BT$5&gt;=$L12,BT$5&lt;=$N12),$K12,"")</f>
        <v/>
      </c>
      <c r="BU12" s="118">
        <f>IF(AND(BU$5&gt;=$L12,BU$5&lt;=$N12),$K12,"")</f>
        <v/>
      </c>
      <c r="BV12" s="118">
        <f>IF(AND(BV$5&gt;=$L12,BV$5&lt;=$N12),$K12,"")</f>
        <v/>
      </c>
      <c r="BW12" s="118">
        <f>IF(AND(BW$5&gt;=$L12,BW$5&lt;=$N12),$K12,"")</f>
        <v/>
      </c>
      <c r="BX12" s="118">
        <f>IF(AND(BX$5&gt;=$L12,BX$5&lt;=$N12),$K12,"")</f>
        <v/>
      </c>
      <c r="BY12" s="118">
        <f>IF(AND(BY$5&gt;=$L12,BY$5&lt;=$N12),$K12,"")</f>
        <v/>
      </c>
      <c r="BZ12" s="118">
        <f>IF(AND(BZ$5&gt;=$L12,BZ$5&lt;=$N12),$K12,"")</f>
        <v/>
      </c>
    </row>
    <row r="13" s="74">
      <c r="A13" s="119" t="n"/>
      <c r="B13" s="106" t="n">
        <v>7</v>
      </c>
      <c r="C13" s="108" t="inlineStr">
        <is>
          <t>Устройство песчаного слоя основания РВС№13.8</t>
        </is>
      </c>
      <c r="D13" s="113" t="n"/>
      <c r="E13" s="120" t="n"/>
      <c r="F13" s="121" t="n"/>
      <c r="G13" s="121" t="n"/>
      <c r="H13" s="121" t="n"/>
      <c r="I13" s="121" t="n"/>
      <c r="J13" s="121" t="n"/>
      <c r="K13" s="113" t="n"/>
      <c r="L13" s="114" t="n">
        <v>46281</v>
      </c>
      <c r="M13" s="122" t="n">
        <v>1</v>
      </c>
      <c r="N13" s="109">
        <f>L13+M13-1</f>
        <v/>
      </c>
      <c r="O13" s="115">
        <f>IF(AND(O$5&gt;=$L13,O$5&lt;=$N13),$K13,"")</f>
        <v/>
      </c>
      <c r="P13" s="115">
        <f>IF(AND(P$5&gt;=$L13,P$5&lt;=$N13),$K13,"")</f>
        <v/>
      </c>
      <c r="Q13" s="115">
        <f>IF(AND(Q$5&gt;=$L13,Q$5&lt;=$N13),$K13,"")</f>
        <v/>
      </c>
      <c r="R13" s="115">
        <f>IF(AND(R$5&gt;=$L13,R$5&lt;=$N13),$K13,"")</f>
        <v/>
      </c>
      <c r="S13" s="115">
        <f>IF(AND(S$5&gt;=$L13,S$5&lt;=$N13),$K13,"")</f>
        <v/>
      </c>
      <c r="T13" s="115">
        <f>IF(AND(T$5&gt;=$L13,T$5&lt;=$N13),$K13,"")</f>
        <v/>
      </c>
      <c r="U13" s="115">
        <f>IF(AND(U$5&gt;=$L13,U$5&lt;=$N13),$K13,"")</f>
        <v/>
      </c>
      <c r="V13" s="115">
        <f>IF(AND(V$5&gt;=$L13,V$5&lt;=$N13),$K13,"")</f>
        <v/>
      </c>
      <c r="W13" s="115">
        <f>IF(AND(W$5&gt;=$L13,W$5&lt;=$N13),$K13,"")</f>
        <v/>
      </c>
      <c r="X13" s="115">
        <f>IF(AND(X$5&gt;=$L13,X$5&lt;=$N13),$K13,"")</f>
        <v/>
      </c>
      <c r="Y13" s="115">
        <f>IF(AND(Y$5&gt;=$L13,Y$5&lt;=$N13),$K13,"")</f>
        <v/>
      </c>
      <c r="Z13" s="115">
        <f>IF(AND(Z$5&gt;=$L13,Z$5&lt;=$N13),$K13,"")</f>
        <v/>
      </c>
      <c r="AA13" s="115">
        <f>IF(AND(AA$5&gt;=$L13,AA$5&lt;=$N13),$K13,"")</f>
        <v/>
      </c>
      <c r="AB13" s="115">
        <f>IF(AND(AB$5&gt;=$L13,AB$5&lt;=$N13),$K13,"")</f>
        <v/>
      </c>
      <c r="AC13" s="115">
        <f>IF(AND(AC$5&gt;=$L13,AC$5&lt;=$N13),$K13,"")</f>
        <v/>
      </c>
      <c r="AD13" s="127">
        <f>IF(AND(AD$5&gt;=$L13,AD$5&lt;=$N13),$K13,"")</f>
        <v/>
      </c>
      <c r="AE13" s="127">
        <f>IF(AND(AE$5&gt;=$L13,AE$5&lt;=$N13),$K13,"")</f>
        <v/>
      </c>
      <c r="AF13" s="115">
        <f>IF(AND(AF$5&gt;=$L13,AF$5&lt;=$N13),$K13,"")</f>
        <v/>
      </c>
      <c r="AG13" s="115">
        <f>IF(AND(AG$5&gt;=$L13,AG$5&lt;=$N13),$K13,"")</f>
        <v/>
      </c>
      <c r="AH13" s="115">
        <f>IF(AND(AH$5&gt;=$L13,AH$5&lt;=$N13),$K13,"")</f>
        <v/>
      </c>
      <c r="AI13" s="115">
        <f>IF(AND(AI$5&gt;=$L13,AI$5&lt;=$N13),$K13,"")</f>
        <v/>
      </c>
      <c r="AJ13" s="115">
        <f>IF(AND(AJ$5&gt;=$L13,AJ$5&lt;=$N13),$K13,"")</f>
        <v/>
      </c>
      <c r="AK13" s="115">
        <f>IF(AND(AK$5&gt;=$L13,AK$5&lt;=$N13),$K13,"")</f>
        <v/>
      </c>
      <c r="AL13" s="115">
        <f>IF(AND(AL$5&gt;=$L13,AL$5&lt;=$N13),$K13,"")</f>
        <v/>
      </c>
      <c r="AM13" s="115">
        <f>IF(AND(AM$5&gt;=$L13,AM$5&lt;=$N13),$K13,"")</f>
        <v/>
      </c>
      <c r="AN13" s="115">
        <f>IF(AND(AN$5&gt;=$L13,AN$5&lt;=$N13),$K13,"")</f>
        <v/>
      </c>
      <c r="AO13" s="115">
        <f>IF(AND(AO$5&gt;=$L13,AO$5&lt;=$N13),$K13,"")</f>
        <v/>
      </c>
      <c r="AP13" s="115">
        <f>IF(AND(AP$5&gt;=$L13,AP$5&lt;=$N13),$K13,"")</f>
        <v/>
      </c>
      <c r="AQ13" s="115">
        <f>IF(AND(AQ$5&gt;=$L13,AQ$5&lt;=$N13),$K13,"")</f>
        <v/>
      </c>
      <c r="AR13" s="115">
        <f>IF(AND(AR$5&gt;=$L13,AR$5&lt;=$N13),$K13,"")</f>
        <v/>
      </c>
      <c r="AS13" s="115">
        <f>IF(AND(AS$5&gt;=$L13,AS$5&lt;=$N13),$K13,"")</f>
        <v/>
      </c>
      <c r="AT13" s="115">
        <f>IF(AND(AT$5&gt;=$L13,AT$5&lt;=$N13),$K13,"")</f>
        <v/>
      </c>
      <c r="AU13" s="115">
        <f>IF(AND(AU$5&gt;=$L13,AU$5&lt;=$N13),$K13,"")</f>
        <v/>
      </c>
      <c r="AV13" s="116">
        <f>IF(AND(AV$5&gt;=$L13,AV$5&lt;=$N13),$K13,"")</f>
        <v/>
      </c>
      <c r="AW13" s="116">
        <f>IF(AND(AW$5&gt;=$L13,AW$5&lt;=$N13),$K13,"")</f>
        <v/>
      </c>
      <c r="AX13" s="116">
        <f>IF(AND(AX$5&gt;=$L13,AX$5&lt;=$N13),$K13,"")</f>
        <v/>
      </c>
      <c r="AY13" s="117">
        <f>IF(AND(AY$5&gt;=$L13,AY$5&lt;=$N13),$K13,"")</f>
        <v/>
      </c>
      <c r="AZ13" s="117">
        <f>IF(AND(AZ$5&gt;=$L13,AZ$5&lt;=$N13),$K13,"")</f>
        <v/>
      </c>
      <c r="BA13" s="117">
        <f>IF(AND(BA$5&gt;=$L13,BA$5&lt;=$N13),$K13,"")</f>
        <v/>
      </c>
      <c r="BB13" s="117">
        <f>IF(AND(BB$5&gt;=$L13,BB$5&lt;=$N13),$K13,"")</f>
        <v/>
      </c>
      <c r="BC13" s="117">
        <f>IF(AND(BC$5&gt;=$L13,BC$5&lt;=$N13),$K13,"")</f>
        <v/>
      </c>
      <c r="BD13" s="117">
        <f>IF(AND(BD$5&gt;=$L13,BD$5&lt;=$N13),$K13,"")</f>
        <v/>
      </c>
      <c r="BE13" s="117">
        <f>IF(AND(BE$5&gt;=$L13,BE$5&lt;=$N13),$K13,"")</f>
        <v/>
      </c>
      <c r="BF13" s="117">
        <f>IF(AND(BF$5&gt;=$L13,BF$5&lt;=$N13),$K13,"")</f>
        <v/>
      </c>
      <c r="BG13" s="118">
        <f>IF(AND(BG$5&gt;=$L13,BG$5&lt;=$N13),$K13,"")</f>
        <v/>
      </c>
      <c r="BH13" s="118">
        <f>IF(AND(BH$5&gt;=$L13,BH$5&lt;=$N13),$K13,"")</f>
        <v/>
      </c>
      <c r="BI13" s="118">
        <f>IF(AND(BI$5&gt;=$L13,BI$5&lt;=$N13),$K13,"")</f>
        <v/>
      </c>
      <c r="BJ13" s="118">
        <f>IF(AND(BJ$5&gt;=$L13,BJ$5&lt;=$N13),$K13,"")</f>
        <v/>
      </c>
      <c r="BK13" s="118">
        <f>IF(AND(BK$5&gt;=$L13,BK$5&lt;=$N13),$K13,"")</f>
        <v/>
      </c>
      <c r="BL13" s="118">
        <f>IF(AND(BL$5&gt;=$L13,BL$5&lt;=$N13),$K13,"")</f>
        <v/>
      </c>
      <c r="BM13" s="118">
        <f>IF(AND(BM$5&gt;=$L13,BM$5&lt;=$N13),$K13,"")</f>
        <v/>
      </c>
      <c r="BN13" s="118">
        <f>IF(AND(BN$5&gt;=$L13,BN$5&lt;=$N13),$K13,"")</f>
        <v/>
      </c>
      <c r="BO13" s="118">
        <f>IF(AND(BO$5&gt;=$L13,BO$5&lt;=$N13),$K13,"")</f>
        <v/>
      </c>
      <c r="BP13" s="118">
        <f>IF(AND(BP$5&gt;=$L13,BP$5&lt;=$N13),$K13,"")</f>
        <v/>
      </c>
      <c r="BQ13" s="118">
        <f>IF(AND(BQ$5&gt;=$L13,BQ$5&lt;=$N13),$K13,"")</f>
        <v/>
      </c>
      <c r="BR13" s="118">
        <f>IF(AND(BR$5&gt;=$L13,BR$5&lt;=$N13),$K13,"")</f>
        <v/>
      </c>
      <c r="BS13" s="118">
        <f>IF(AND(BS$5&gt;=$L13,BS$5&lt;=$N13),$K13,"")</f>
        <v/>
      </c>
      <c r="BT13" s="118">
        <f>IF(AND(BT$5&gt;=$L13,BT$5&lt;=$N13),$K13,"")</f>
        <v/>
      </c>
      <c r="BU13" s="118">
        <f>IF(AND(BU$5&gt;=$L13,BU$5&lt;=$N13),$K13,"")</f>
        <v/>
      </c>
      <c r="BV13" s="118">
        <f>IF(AND(BV$5&gt;=$L13,BV$5&lt;=$N13),$K13,"")</f>
        <v/>
      </c>
      <c r="BW13" s="118">
        <f>IF(AND(BW$5&gt;=$L13,BW$5&lt;=$N13),$K13,"")</f>
        <v/>
      </c>
      <c r="BX13" s="118">
        <f>IF(AND(BX$5&gt;=$L13,BX$5&lt;=$N13),$K13,"")</f>
        <v/>
      </c>
      <c r="BY13" s="123">
        <f>IF(AND(BY$5&gt;=$L13,BY$5&lt;=$N13),$K13,"")</f>
        <v/>
      </c>
      <c r="BZ13" s="123">
        <f>IF(AND(BZ$5&gt;=$L13,BZ$5&lt;=$N13),$K13,"")</f>
        <v/>
      </c>
    </row>
    <row r="14" s="74">
      <c r="A14" s="119" t="n"/>
      <c r="B14" s="106" t="n">
        <v>8</v>
      </c>
      <c r="C14" s="108" t="inlineStr">
        <is>
          <t>Монтаж геомембраны и устройство защитного слоя  основания РВС№13.8</t>
        </is>
      </c>
      <c r="D14" s="113" t="n"/>
      <c r="E14" s="120" t="n"/>
      <c r="F14" s="121" t="n"/>
      <c r="G14" s="121" t="n"/>
      <c r="H14" s="121" t="n"/>
      <c r="I14" s="121" t="n"/>
      <c r="J14" s="121" t="n"/>
      <c r="K14" s="113" t="n"/>
      <c r="L14" s="114" t="n">
        <v>46286</v>
      </c>
      <c r="M14" s="122" t="n">
        <v>2</v>
      </c>
      <c r="N14" s="109">
        <f>L14+M14-1</f>
        <v/>
      </c>
      <c r="O14" s="115">
        <f>IF(AND(O$5&gt;=$L14,O$5&lt;=$N14),$K14,"")</f>
        <v/>
      </c>
      <c r="P14" s="115">
        <f>IF(AND(P$5&gt;=$L14,P$5&lt;=$N14),$K14,"")</f>
        <v/>
      </c>
      <c r="Q14" s="115">
        <f>IF(AND(Q$5&gt;=$L14,Q$5&lt;=$N14),$K14,"")</f>
        <v/>
      </c>
      <c r="R14" s="115">
        <f>IF(AND(R$5&gt;=$L14,R$5&lt;=$N14),$K14,"")</f>
        <v/>
      </c>
      <c r="S14" s="115">
        <f>IF(AND(S$5&gt;=$L14,S$5&lt;=$N14),$K14,"")</f>
        <v/>
      </c>
      <c r="T14" s="115">
        <f>IF(AND(T$5&gt;=$L14,T$5&lt;=$N14),$K14,"")</f>
        <v/>
      </c>
      <c r="U14" s="115">
        <f>IF(AND(U$5&gt;=$L14,U$5&lt;=$N14),$K14,"")</f>
        <v/>
      </c>
      <c r="V14" s="115">
        <f>IF(AND(V$5&gt;=$L14,V$5&lt;=$N14),$K14,"")</f>
        <v/>
      </c>
      <c r="W14" s="115">
        <f>IF(AND(W$5&gt;=$L14,W$5&lt;=$N14),$K14,"")</f>
        <v/>
      </c>
      <c r="X14" s="115">
        <f>IF(AND(X$5&gt;=$L14,X$5&lt;=$N14),$K14,"")</f>
        <v/>
      </c>
      <c r="Y14" s="115">
        <f>IF(AND(Y$5&gt;=$L14,Y$5&lt;=$N14),$K14,"")</f>
        <v/>
      </c>
      <c r="Z14" s="115">
        <f>IF(AND(Z$5&gt;=$L14,Z$5&lt;=$N14),$K14,"")</f>
        <v/>
      </c>
      <c r="AA14" s="115">
        <f>IF(AND(AA$5&gt;=$L14,AA$5&lt;=$N14),$K14,"")</f>
        <v/>
      </c>
      <c r="AB14" s="115">
        <f>IF(AND(AB$5&gt;=$L14,AB$5&lt;=$N14),$K14,"")</f>
        <v/>
      </c>
      <c r="AC14" s="115">
        <f>IF(AND(AC$5&gt;=$L14,AC$5&lt;=$N14),$K14,"")</f>
        <v/>
      </c>
      <c r="AD14" s="115">
        <f>IF(AND(AD$5&gt;=$L14,AD$5&lt;=$N14),$K14,"")</f>
        <v/>
      </c>
      <c r="AE14" s="115">
        <f>IF(AND(AE$5&gt;=$L14,AE$5&lt;=$N14),$K14,"")</f>
        <v/>
      </c>
      <c r="AF14" s="115">
        <f>IF(AND(AF$5&gt;=$L14,AF$5&lt;=$N14),$K14,"")</f>
        <v/>
      </c>
      <c r="AG14" s="115">
        <f>IF(AND(AG$5&gt;=$L14,AG$5&lt;=$N14),$K14,"")</f>
        <v/>
      </c>
      <c r="AH14" s="115">
        <f>IF(AND(AH$5&gt;=$L14,AH$5&lt;=$N14),$K14,"")</f>
        <v/>
      </c>
      <c r="AI14" s="115">
        <f>IF(AND(AI$5&gt;=$L14,AI$5&lt;=$N14),$K14,"")</f>
        <v/>
      </c>
      <c r="AJ14" s="115">
        <f>IF(AND(AJ$5&gt;=$L14,AJ$5&lt;=$N14),$K14,"")</f>
        <v/>
      </c>
      <c r="AK14" s="115">
        <f>IF(AND(AK$5&gt;=$L14,AK$5&lt;=$N14),$K14,"")</f>
        <v/>
      </c>
      <c r="AL14" s="115">
        <f>IF(AND(AL$5&gt;=$L14,AL$5&lt;=$N14),$K14,"")</f>
        <v/>
      </c>
      <c r="AM14" s="115">
        <f>IF(AND(AM$5&gt;=$L14,AM$5&lt;=$N14),$K14,"")</f>
        <v/>
      </c>
      <c r="AN14" s="115">
        <f>IF(AND(AN$5&gt;=$L14,AN$5&lt;=$N14),$K14,"")</f>
        <v/>
      </c>
      <c r="AO14" s="115">
        <f>IF(AND(AO$5&gt;=$L14,AO$5&lt;=$N14),$K14,"")</f>
        <v/>
      </c>
      <c r="AP14" s="115">
        <f>IF(AND(AP$5&gt;=$L14,AP$5&lt;=$N14),$K14,"")</f>
        <v/>
      </c>
      <c r="AQ14" s="115">
        <f>IF(AND(AQ$5&gt;=$L14,AQ$5&lt;=$N14),$K14,"")</f>
        <v/>
      </c>
      <c r="AR14" s="115">
        <f>IF(AND(AR$5&gt;=$L14,AR$5&lt;=$N14),$K14,"")</f>
        <v/>
      </c>
      <c r="AS14" s="115">
        <f>IF(AND(AS$5&gt;=$L14,AS$5&lt;=$N14),$K14,"")</f>
        <v/>
      </c>
      <c r="AT14" s="115">
        <f>IF(AND(AT$5&gt;=$L14,AT$5&lt;=$N14),$K14,"")</f>
        <v/>
      </c>
      <c r="AU14" s="115">
        <f>IF(AND(AU$5&gt;=$L14,AU$5&lt;=$N14),$K14,"")</f>
        <v/>
      </c>
      <c r="AV14" s="116">
        <f>IF(AND(AV$5&gt;=$L14,AV$5&lt;=$N14),$K14,"")</f>
        <v/>
      </c>
      <c r="AW14" s="116">
        <f>IF(AND(AW$5&gt;=$L14,AW$5&lt;=$N14),$K14,"")</f>
        <v/>
      </c>
      <c r="AX14" s="116">
        <f>IF(AND(AX$5&gt;=$L14,AX$5&lt;=$N14),$K14,"")</f>
        <v/>
      </c>
      <c r="AY14" s="117">
        <f>IF(AND(AY$5&gt;=$L14,AY$5&lt;=$N14),$K14,"")</f>
        <v/>
      </c>
      <c r="AZ14" s="117">
        <f>IF(AND(AZ$5&gt;=$L14,AZ$5&lt;=$N14),$K14,"")</f>
        <v/>
      </c>
      <c r="BA14" s="117">
        <f>IF(AND(BA$5&gt;=$L14,BA$5&lt;=$N14),$K14,"")</f>
        <v/>
      </c>
      <c r="BB14" s="117">
        <f>IF(AND(BB$5&gt;=$L14,BB$5&lt;=$N14),$K14,"")</f>
        <v/>
      </c>
      <c r="BC14" s="117">
        <f>IF(AND(BC$5&gt;=$L14,BC$5&lt;=$N14),$K14,"")</f>
        <v/>
      </c>
      <c r="BD14" s="117">
        <f>IF(AND(BD$5&gt;=$L14,BD$5&lt;=$N14),$K14,"")</f>
        <v/>
      </c>
      <c r="BE14" s="117">
        <f>IF(AND(BE$5&gt;=$L14,BE$5&lt;=$N14),$K14,"")</f>
        <v/>
      </c>
      <c r="BF14" s="117">
        <f>IF(AND(BF$5&gt;=$L14,BF$5&lt;=$N14),$K14,"")</f>
        <v/>
      </c>
      <c r="BG14" s="118">
        <f>IF(AND(BG$5&gt;=$L14,BG$5&lt;=$N14),$K14,"")</f>
        <v/>
      </c>
      <c r="BH14" s="118">
        <f>IF(AND(BH$5&gt;=$L14,BH$5&lt;=$N14),$K14,"")</f>
        <v/>
      </c>
      <c r="BI14" s="118">
        <f>IF(AND(BI$5&gt;=$L14,BI$5&lt;=$N14),$K14,"")</f>
        <v/>
      </c>
      <c r="BJ14" s="118">
        <f>IF(AND(BJ$5&gt;=$L14,BJ$5&lt;=$N14),$K14,"")</f>
        <v/>
      </c>
      <c r="BK14" s="118">
        <f>IF(AND(BK$5&gt;=$L14,BK$5&lt;=$N14),$K14,"")</f>
        <v/>
      </c>
      <c r="BL14" s="118">
        <f>IF(AND(BL$5&gt;=$L14,BL$5&lt;=$N14),$K14,"")</f>
        <v/>
      </c>
      <c r="BM14" s="118">
        <f>IF(AND(BM$5&gt;=$L14,BM$5&lt;=$N14),$K14,"")</f>
        <v/>
      </c>
      <c r="BN14" s="118">
        <f>IF(AND(BN$5&gt;=$L14,BN$5&lt;=$N14),$K14,"")</f>
        <v/>
      </c>
      <c r="BO14" s="118">
        <f>IF(AND(BO$5&gt;=$L14,BO$5&lt;=$N14),$K14,"")</f>
        <v/>
      </c>
      <c r="BP14" s="118">
        <f>IF(AND(BP$5&gt;=$L14,BP$5&lt;=$N14),$K14,"")</f>
        <v/>
      </c>
      <c r="BQ14" s="118">
        <f>IF(AND(BQ$5&gt;=$L14,BQ$5&lt;=$N14),$K14,"")</f>
        <v/>
      </c>
      <c r="BR14" s="118">
        <f>IF(AND(BR$5&gt;=$L14,BR$5&lt;=$N14),$K14,"")</f>
        <v/>
      </c>
      <c r="BS14" s="118">
        <f>IF(AND(BS$5&gt;=$L14,BS$5&lt;=$N14),$K14,"")</f>
        <v/>
      </c>
      <c r="BT14" s="118">
        <f>IF(AND(BT$5&gt;=$L14,BT$5&lt;=$N14),$K14,"")</f>
        <v/>
      </c>
      <c r="BU14" s="118">
        <f>IF(AND(BU$5&gt;=$L14,BU$5&lt;=$N14),$K14,"")</f>
        <v/>
      </c>
      <c r="BV14" s="118">
        <f>IF(AND(BV$5&gt;=$L14,BV$5&lt;=$N14),$K14,"")</f>
        <v/>
      </c>
      <c r="BW14" s="118">
        <f>IF(AND(BW$5&gt;=$L14,BW$5&lt;=$N14),$K14,"")</f>
        <v/>
      </c>
      <c r="BX14" s="118">
        <f>IF(AND(BX$5&gt;=$L14,BX$5&lt;=$N14),$K14,"")</f>
        <v/>
      </c>
      <c r="BY14" s="123">
        <f>IF(AND(BY$5&gt;=$L14,BY$5&lt;=$N14),$K14,"")</f>
        <v/>
      </c>
      <c r="BZ14" s="123">
        <f>IF(AND(BZ$5&gt;=$L14,BZ$5&lt;=$N14),$K14,"")</f>
        <v/>
      </c>
      <c r="CA14" s="128" t="n"/>
      <c r="CB14" s="128" t="n"/>
      <c r="CC14" s="128" t="n"/>
      <c r="CD14" s="128" t="n"/>
      <c r="CE14" s="128" t="n"/>
      <c r="CF14" s="128" t="n"/>
      <c r="CG14" s="128" t="n"/>
      <c r="CH14" s="128" t="n"/>
    </row>
    <row r="15" s="74">
      <c r="A15" s="119" t="n"/>
      <c r="B15" s="106" t="n">
        <v>9</v>
      </c>
      <c r="C15" s="126" t="inlineStr">
        <is>
          <t>Устройство гидрофобного слоя из асфальтобетона РВС №13.8, №13.10</t>
        </is>
      </c>
      <c r="D15" s="119" t="n"/>
      <c r="E15" s="129" t="n"/>
      <c r="F15" s="130" t="n"/>
      <c r="G15" s="130" t="n"/>
      <c r="H15" s="130" t="n"/>
      <c r="I15" s="130" t="n"/>
      <c r="J15" s="130" t="n"/>
      <c r="K15" s="119" t="n"/>
      <c r="L15" s="131" t="n">
        <v>46286</v>
      </c>
      <c r="M15" s="122" t="n">
        <v>2</v>
      </c>
      <c r="N15" s="131">
        <f>L15+M15-1</f>
        <v/>
      </c>
      <c r="O15" s="115">
        <f>IF(AND(O$5&gt;=$L15,O$5&lt;=$N15),$K15,"")</f>
        <v/>
      </c>
      <c r="P15" s="115">
        <f>IF(AND(P$5&gt;=$L15,P$5&lt;=$N15),$K15,"")</f>
        <v/>
      </c>
      <c r="Q15" s="115">
        <f>IF(AND(Q$5&gt;=$L15,Q$5&lt;=$N15),$K15,"")</f>
        <v/>
      </c>
      <c r="R15" s="115">
        <f>IF(AND(R$5&gt;=$L15,R$5&lt;=$N15),$K15,"")</f>
        <v/>
      </c>
      <c r="S15" s="115">
        <f>IF(AND(S$5&gt;=$L15,S$5&lt;=$N15),$K15,"")</f>
        <v/>
      </c>
      <c r="T15" s="115">
        <f>IF(AND(T$5&gt;=$L15,T$5&lt;=$N15),$K15,"")</f>
        <v/>
      </c>
      <c r="U15" s="115">
        <f>IF(AND(U$5&gt;=$L15,U$5&lt;=$N15),$K15,"")</f>
        <v/>
      </c>
      <c r="V15" s="115">
        <f>IF(AND(V$5&gt;=$L15,V$5&lt;=$N15),$K15,"")</f>
        <v/>
      </c>
      <c r="W15" s="115">
        <f>IF(AND(W$5&gt;=$L15,W$5&lt;=$N15),$K15,"")</f>
        <v/>
      </c>
      <c r="X15" s="115">
        <f>IF(AND(X$5&gt;=$L15,X$5&lt;=$N15),$K15,"")</f>
        <v/>
      </c>
      <c r="Y15" s="115">
        <f>IF(AND(Y$5&gt;=$L15,Y$5&lt;=$N15),$K15,"")</f>
        <v/>
      </c>
      <c r="Z15" s="115">
        <f>IF(AND(Z$5&gt;=$L15,Z$5&lt;=$N15),$K15,"")</f>
        <v/>
      </c>
      <c r="AA15" s="115">
        <f>IF(AND(AA$5&gt;=$L15,AA$5&lt;=$N15),$K15,"")</f>
        <v/>
      </c>
      <c r="AB15" s="115">
        <f>IF(AND(AB$5&gt;=$L15,AB$5&lt;=$N15),$K15,"")</f>
        <v/>
      </c>
      <c r="AC15" s="115">
        <f>IF(AND(AC$5&gt;=$L15,AC$5&lt;=$N15),$K15,"")</f>
        <v/>
      </c>
      <c r="AD15" s="115">
        <f>IF(AND(AD$5&gt;=$L15,AD$5&lt;=$N15),$K15,"")</f>
        <v/>
      </c>
      <c r="AE15" s="115">
        <f>IF(AND(AE$5&gt;=$L15,AE$5&lt;=$N15),$K15,"")</f>
        <v/>
      </c>
      <c r="AF15" s="115">
        <f>IF(AND(AF$5&gt;=$L15,AF$5&lt;=$N15),$K15,"")</f>
        <v/>
      </c>
      <c r="AG15" s="115">
        <f>IF(AND(AG$5&gt;=$L15,AG$5&lt;=$N15),$K15,"")</f>
        <v/>
      </c>
      <c r="AH15" s="115">
        <f>IF(AND(AH$5&gt;=$L15,AH$5&lt;=$N15),$K15,"")</f>
        <v/>
      </c>
      <c r="AI15" s="115">
        <f>IF(AND(AI$5&gt;=$L15,AI$5&lt;=$N15),$K15,"")</f>
        <v/>
      </c>
      <c r="AJ15" s="115">
        <f>IF(AND(AJ$5&gt;=$L15,AJ$5&lt;=$N15),$K15,"")</f>
        <v/>
      </c>
      <c r="AK15" s="115">
        <f>IF(AND(AK$5&gt;=$L15,AK$5&lt;=$N15),$K15,"")</f>
        <v/>
      </c>
      <c r="AL15" s="115">
        <f>IF(AND(AL$5&gt;=$L15,AL$5&lt;=$N15),$K15,"")</f>
        <v/>
      </c>
      <c r="AM15" s="115">
        <f>IF(AND(AM$5&gt;=$L15,AM$5&lt;=$N15),$K15,"")</f>
        <v/>
      </c>
      <c r="AN15" s="115">
        <f>IF(AND(AN$5&gt;=$L15,AN$5&lt;=$N15),$K15,"")</f>
        <v/>
      </c>
      <c r="AO15" s="115">
        <f>IF(AND(AO$5&gt;=$L15,AO$5&lt;=$N15),$K15,"")</f>
        <v/>
      </c>
      <c r="AP15" s="115">
        <f>IF(AND(AP$5&gt;=$L15,AP$5&lt;=$N15),$K15,"")</f>
        <v/>
      </c>
      <c r="AQ15" s="115">
        <f>IF(AND(AQ$5&gt;=$L15,AQ$5&lt;=$N15),$K15,"")</f>
        <v/>
      </c>
      <c r="AR15" s="115">
        <f>IF(AND(AR$5&gt;=$L15,AR$5&lt;=$N15),$K15,"")</f>
        <v/>
      </c>
      <c r="AS15" s="115">
        <f>IF(AND(AS$5&gt;=$L15,AS$5&lt;=$N15),$K15,"")</f>
        <v/>
      </c>
      <c r="AT15" s="115">
        <f>IF(AND(AT$5&gt;=$L15,AT$5&lt;=$N15),$K15,"")</f>
        <v/>
      </c>
      <c r="AU15" s="115">
        <f>IF(AND(AU$5&gt;=$L15,AU$5&lt;=$N15),$K15,"")</f>
        <v/>
      </c>
      <c r="AV15" s="116">
        <f>IF(AND(AV$5&gt;=$L15,AV$5&lt;=$N15),$K15,"")</f>
        <v/>
      </c>
      <c r="AW15" s="116">
        <f>IF(AND(AW$5&gt;=$L15,AW$5&lt;=$N15),$K15,"")</f>
        <v/>
      </c>
      <c r="AX15" s="116">
        <f>IF(AND(AX$5&gt;=$L15,AX$5&lt;=$N15),$K15,"")</f>
        <v/>
      </c>
      <c r="AY15" s="117">
        <f>IF(AND(AY$5&gt;=$L15,AY$5&lt;=$N15),$K15,"")</f>
        <v/>
      </c>
      <c r="AZ15" s="117">
        <f>IF(AND(AZ$5&gt;=$L15,AZ$5&lt;=$N15),$K15,"")</f>
        <v/>
      </c>
      <c r="BA15" s="117">
        <f>IF(AND(BA$5&gt;=$L15,BA$5&lt;=$N15),$K15,"")</f>
        <v/>
      </c>
      <c r="BB15" s="117">
        <f>IF(AND(BB$5&gt;=$L15,BB$5&lt;=$N15),$K15,"")</f>
        <v/>
      </c>
      <c r="BC15" s="117">
        <f>IF(AND(BC$5&gt;=$L15,BC$5&lt;=$N15),$K15,"")</f>
        <v/>
      </c>
      <c r="BD15" s="117">
        <f>IF(AND(BD$5&gt;=$L15,BD$5&lt;=$N15),$K15,"")</f>
        <v/>
      </c>
      <c r="BE15" s="117">
        <f>IF(AND(BE$5&gt;=$L15,BE$5&lt;=$N15),$K15,"")</f>
        <v/>
      </c>
      <c r="BF15" s="117">
        <f>IF(AND(BF$5&gt;=$L15,BF$5&lt;=$N15),$K15,"")</f>
        <v/>
      </c>
      <c r="BG15" s="118">
        <f>IF(AND(BG$5&gt;=$L15,BG$5&lt;=$N15),$K15,"")</f>
        <v/>
      </c>
      <c r="BH15" s="118">
        <f>IF(AND(BH$5&gt;=$L15,BH$5&lt;=$N15),$K15,"")</f>
        <v/>
      </c>
      <c r="BI15" s="118">
        <f>IF(AND(BI$5&gt;=$L15,BI$5&lt;=$N15),$K15,"")</f>
        <v/>
      </c>
      <c r="BJ15" s="118">
        <f>IF(AND(BJ$5&gt;=$L15,BJ$5&lt;=$N15),$K15,"")</f>
        <v/>
      </c>
      <c r="BK15" s="118">
        <f>IF(AND(BK$5&gt;=$L15,BK$5&lt;=$N15),$K15,"")</f>
        <v/>
      </c>
      <c r="BL15" s="118">
        <f>IF(AND(BL$5&gt;=$L15,BL$5&lt;=$N15),$K15,"")</f>
        <v/>
      </c>
      <c r="BM15" s="118">
        <f>IF(AND(BM$5&gt;=$L15,BM$5&lt;=$N15),$K15,"")</f>
        <v/>
      </c>
      <c r="BN15" s="118">
        <f>IF(AND(BN$5&gt;=$L15,BN$5&lt;=$N15),$K15,"")</f>
        <v/>
      </c>
      <c r="BO15" s="118">
        <f>IF(AND(BO$5&gt;=$L15,BO$5&lt;=$N15),$K15,"")</f>
        <v/>
      </c>
      <c r="BP15" s="118">
        <f>IF(AND(BP$5&gt;=$L15,BP$5&lt;=$N15),$K15,"")</f>
        <v/>
      </c>
      <c r="BQ15" s="118">
        <f>IF(AND(BQ$5&gt;=$L15,BQ$5&lt;=$N15),$K15,"")</f>
        <v/>
      </c>
      <c r="BR15" s="118">
        <f>IF(AND(BR$5&gt;=$L15,BR$5&lt;=$N15),$K15,"")</f>
        <v/>
      </c>
      <c r="BS15" s="118">
        <f>IF(AND(BS$5&gt;=$L15,BS$5&lt;=$N15),$K15,"")</f>
        <v/>
      </c>
      <c r="BT15" s="118">
        <f>IF(AND(BT$5&gt;=$L15,BT$5&lt;=$N15),$K15,"")</f>
        <v/>
      </c>
      <c r="BU15" s="118">
        <f>IF(AND(BU$5&gt;=$L15,BU$5&lt;=$N15),$K15,"")</f>
        <v/>
      </c>
      <c r="BV15" s="118">
        <f>IF(AND(BV$5&gt;=$L15,BV$5&lt;=$N15),$K15,"")</f>
        <v/>
      </c>
      <c r="BW15" s="118">
        <f>IF(AND(BW$5&gt;=$L15,BW$5&lt;=$N15),$K15,"")</f>
        <v/>
      </c>
      <c r="BX15" s="118">
        <f>IF(AND(BX$5&gt;=$L15,BX$5&lt;=$N15),$K15,"")</f>
        <v/>
      </c>
      <c r="BY15" s="123">
        <f>IF(AND(BY$5&gt;=$L15,BY$5&lt;=$N15),$K15,"")</f>
        <v/>
      </c>
      <c r="BZ15" s="123">
        <f>IF(AND(BZ$5&gt;=$L15,BZ$5&lt;=$N15),$K15,"")</f>
        <v/>
      </c>
      <c r="CA15" s="128" t="n"/>
      <c r="CB15" s="128" t="n"/>
      <c r="CC15" s="128" t="n"/>
      <c r="CD15" s="128" t="n"/>
      <c r="CE15" s="128" t="n"/>
      <c r="CF15" s="128" t="n"/>
      <c r="CG15" s="128" t="n"/>
      <c r="CH15" s="128" t="n"/>
    </row>
    <row r="16" s="74">
      <c r="A16" s="102" t="n"/>
      <c r="B16" s="106" t="n">
        <v>10</v>
      </c>
      <c r="C16" s="108" t="inlineStr">
        <is>
          <t>Монтаж геомембраны и устройство защитного слоя  основания РВС№13.6</t>
        </is>
      </c>
      <c r="D16" s="113" t="n"/>
      <c r="E16" s="120" t="n"/>
      <c r="F16" s="121" t="n"/>
      <c r="G16" s="121" t="n"/>
      <c r="H16" s="121" t="n"/>
      <c r="I16" s="121" t="n"/>
      <c r="J16" s="121" t="n"/>
      <c r="K16" s="113" t="n"/>
      <c r="L16" s="114" t="n">
        <v>46288</v>
      </c>
      <c r="M16" s="122" t="n">
        <v>2</v>
      </c>
      <c r="N16" s="109">
        <f>L16+M16-1</f>
        <v/>
      </c>
      <c r="O16" s="115">
        <f>IF(AND(O$5&gt;=$L16,O$5&lt;=$N16),$K16,"")</f>
        <v/>
      </c>
      <c r="P16" s="115">
        <f>IF(AND(P$5&gt;=$L16,P$5&lt;=$N16),$K16,"")</f>
        <v/>
      </c>
      <c r="Q16" s="115">
        <f>IF(AND(Q$5&gt;=$L16,Q$5&lt;=$N16),$K16,"")</f>
        <v/>
      </c>
      <c r="R16" s="115">
        <f>IF(AND(R$5&gt;=$L16,R$5&lt;=$N16),$K16,"")</f>
        <v/>
      </c>
      <c r="S16" s="115">
        <f>IF(AND(S$5&gt;=$L16,S$5&lt;=$N16),$K16,"")</f>
        <v/>
      </c>
      <c r="T16" s="115">
        <f>IF(AND(T$5&gt;=$L16,T$5&lt;=$N16),$K16,"")</f>
        <v/>
      </c>
      <c r="U16" s="115">
        <f>IF(AND(U$5&gt;=$L16,U$5&lt;=$N16),$K16,"")</f>
        <v/>
      </c>
      <c r="V16" s="115">
        <f>IF(AND(V$5&gt;=$L16,V$5&lt;=$N16),$K16,"")</f>
        <v/>
      </c>
      <c r="W16" s="115">
        <f>IF(AND(W$5&gt;=$L16,W$5&lt;=$N16),$K16,"")</f>
        <v/>
      </c>
      <c r="X16" s="115">
        <f>IF(AND(X$5&gt;=$L16,X$5&lt;=$N16),$K16,"")</f>
        <v/>
      </c>
      <c r="Y16" s="115">
        <f>IF(AND(Y$5&gt;=$L16,Y$5&lt;=$N16),$K16,"")</f>
        <v/>
      </c>
      <c r="Z16" s="115">
        <f>IF(AND(Z$5&gt;=$L16,Z$5&lt;=$N16),$K16,"")</f>
        <v/>
      </c>
      <c r="AA16" s="115">
        <f>IF(AND(AA$5&gt;=$L16,AA$5&lt;=$N16),$K16,"")</f>
        <v/>
      </c>
      <c r="AB16" s="115">
        <f>IF(AND(AB$5&gt;=$L16,AB$5&lt;=$N16),$K16,"")</f>
        <v/>
      </c>
      <c r="AC16" s="115">
        <f>IF(AND(AC$5&gt;=$L16,AC$5&lt;=$N16),$K16,"")</f>
        <v/>
      </c>
      <c r="AD16" s="115">
        <f>IF(AND(AD$5&gt;=$L16,AD$5&lt;=$N16),$K16,"")</f>
        <v/>
      </c>
      <c r="AE16" s="115">
        <f>IF(AND(AE$5&gt;=$L16,AE$5&lt;=$N16),$K16,"")</f>
        <v/>
      </c>
      <c r="AF16" s="115">
        <f>IF(AND(AF$5&gt;=$L16,AF$5&lt;=$N16),$K16,"")</f>
        <v/>
      </c>
      <c r="AG16" s="115">
        <f>IF(AND(AG$5&gt;=$L16,AG$5&lt;=$N16),$K16,"")</f>
        <v/>
      </c>
      <c r="AH16" s="115">
        <f>IF(AND(AH$5&gt;=$L16,AH$5&lt;=$N16),$K16,"")</f>
        <v/>
      </c>
      <c r="AI16" s="115">
        <f>IF(AND(AI$5&gt;=$L16,AI$5&lt;=$N16),$K16,"")</f>
        <v/>
      </c>
      <c r="AJ16" s="115">
        <f>IF(AND(AJ$5&gt;=$L16,AJ$5&lt;=$N16),$K16,"")</f>
        <v/>
      </c>
      <c r="AK16" s="115">
        <f>IF(AND(AK$5&gt;=$L16,AK$5&lt;=$N16),$K16,"")</f>
        <v/>
      </c>
      <c r="AL16" s="115">
        <f>IF(AND(AL$5&gt;=$L16,AL$5&lt;=$N16),$K16,"")</f>
        <v/>
      </c>
      <c r="AM16" s="115">
        <f>IF(AND(AM$5&gt;=$L16,AM$5&lt;=$N16),$K16,"")</f>
        <v/>
      </c>
      <c r="AN16" s="115">
        <f>IF(AND(AN$5&gt;=$L16,AN$5&lt;=$N16),$K16,"")</f>
        <v/>
      </c>
      <c r="AO16" s="115">
        <f>IF(AND(AO$5&gt;=$L16,AO$5&lt;=$N16),$K16,"")</f>
        <v/>
      </c>
      <c r="AP16" s="115">
        <f>IF(AND(AP$5&gt;=$L16,AP$5&lt;=$N16),$K16,"")</f>
        <v/>
      </c>
      <c r="AQ16" s="115">
        <f>IF(AND(AQ$5&gt;=$L16,AQ$5&lt;=$N16),$K16,"")</f>
        <v/>
      </c>
      <c r="AR16" s="115">
        <f>IF(AND(AR$5&gt;=$L16,AR$5&lt;=$N16),$K16,"")</f>
        <v/>
      </c>
      <c r="AS16" s="115">
        <f>IF(AND(AS$5&gt;=$L16,AS$5&lt;=$N16),$K16,"")</f>
        <v/>
      </c>
      <c r="AT16" s="115">
        <f>IF(AND(AT$5&gt;=$L16,AT$5&lt;=$N16),$K16,"")</f>
        <v/>
      </c>
      <c r="AU16" s="115">
        <f>IF(AND(AU$5&gt;=$L16,AU$5&lt;=$N16),$K16,"")</f>
        <v/>
      </c>
      <c r="AV16" s="116">
        <f>IF(AND(AV$5&gt;=$L16,AV$5&lt;=$N16),$K16,"")</f>
        <v/>
      </c>
      <c r="AW16" s="116">
        <f>IF(AND(AW$5&gt;=$L16,AW$5&lt;=$N16),$K16,"")</f>
        <v/>
      </c>
      <c r="AX16" s="116">
        <f>IF(AND(AX$5&gt;=$L16,AX$5&lt;=$N16),$K16,"")</f>
        <v/>
      </c>
      <c r="AY16" s="117">
        <f>IF(AND(AY$5&gt;=$L16,AY$5&lt;=$N16),$K16,"")</f>
        <v/>
      </c>
      <c r="AZ16" s="117">
        <f>IF(AND(AZ$5&gt;=$L16,AZ$5&lt;=$N16),$K16,"")</f>
        <v/>
      </c>
      <c r="BA16" s="117">
        <f>IF(AND(BA$5&gt;=$L16,BA$5&lt;=$N16),$K16,"")</f>
        <v/>
      </c>
      <c r="BB16" s="117">
        <f>IF(AND(BB$5&gt;=$L16,BB$5&lt;=$N16),$K16,"")</f>
        <v/>
      </c>
      <c r="BC16" s="117">
        <f>IF(AND(BC$5&gt;=$L16,BC$5&lt;=$N16),$K16,"")</f>
        <v/>
      </c>
      <c r="BD16" s="117">
        <f>IF(AND(BD$5&gt;=$L16,BD$5&lt;=$N16),$K16,"")</f>
        <v/>
      </c>
      <c r="BE16" s="117">
        <f>IF(AND(BE$5&gt;=$L16,BE$5&lt;=$N16),$K16,"")</f>
        <v/>
      </c>
      <c r="BF16" s="117">
        <f>IF(AND(BF$5&gt;=$L16,BF$5&lt;=$N16),$K16,"")</f>
        <v/>
      </c>
      <c r="BG16" s="118">
        <f>IF(AND(BG$5&gt;=$L16,BG$5&lt;=$N16),$K16,"")</f>
        <v/>
      </c>
      <c r="BH16" s="118">
        <f>IF(AND(BH$5&gt;=$L16,BH$5&lt;=$N16),$K16,"")</f>
        <v/>
      </c>
      <c r="BI16" s="118">
        <f>IF(AND(BI$5&gt;=$L16,BI$5&lt;=$N16),$K16,"")</f>
        <v/>
      </c>
      <c r="BJ16" s="118">
        <f>IF(AND(BJ$5&gt;=$L16,BJ$5&lt;=$N16),$K16,"")</f>
        <v/>
      </c>
      <c r="BK16" s="118">
        <f>IF(AND(BK$5&gt;=$L16,BK$5&lt;=$N16),$K16,"")</f>
        <v/>
      </c>
      <c r="BL16" s="118">
        <f>IF(AND(BL$5&gt;=$L16,BL$5&lt;=$N16),$K16,"")</f>
        <v/>
      </c>
      <c r="BM16" s="118">
        <f>IF(AND(BM$5&gt;=$L16,BM$5&lt;=$N16),$K16,"")</f>
        <v/>
      </c>
      <c r="BN16" s="118">
        <f>IF(AND(BN$5&gt;=$L16,BN$5&lt;=$N16),$K16,"")</f>
        <v/>
      </c>
      <c r="BO16" s="118">
        <f>IF(AND(BO$5&gt;=$L16,BO$5&lt;=$N16),$K16,"")</f>
        <v/>
      </c>
      <c r="BP16" s="118">
        <f>IF(AND(BP$5&gt;=$L16,BP$5&lt;=$N16),$K16,"")</f>
        <v/>
      </c>
      <c r="BQ16" s="118">
        <f>IF(AND(BQ$5&gt;=$L16,BQ$5&lt;=$N16),$K16,"")</f>
        <v/>
      </c>
      <c r="BR16" s="118">
        <f>IF(AND(BR$5&gt;=$L16,BR$5&lt;=$N16),$K16,"")</f>
        <v/>
      </c>
      <c r="BS16" s="118">
        <f>IF(AND(BS$5&gt;=$L16,BS$5&lt;=$N16),$K16,"")</f>
        <v/>
      </c>
      <c r="BT16" s="118">
        <f>IF(AND(BT$5&gt;=$L16,BT$5&lt;=$N16),$K16,"")</f>
        <v/>
      </c>
      <c r="BU16" s="118">
        <f>IF(AND(BU$5&gt;=$L16,BU$5&lt;=$N16),$K16,"")</f>
        <v/>
      </c>
      <c r="BV16" s="118">
        <f>IF(AND(BV$5&gt;=$L16,BV$5&lt;=$N16),$K16,"")</f>
        <v/>
      </c>
      <c r="BW16" s="118">
        <f>IF(AND(BW$5&gt;=$L16,BW$5&lt;=$N16),$K16,"")</f>
        <v/>
      </c>
      <c r="BX16" s="118">
        <f>IF(AND(BX$5&gt;=$L16,BX$5&lt;=$N16),$K16,"")</f>
        <v/>
      </c>
      <c r="BY16" s="118">
        <f>IF(AND(BY$5&gt;=$L16,BY$5&lt;=$N16),$K16,"")</f>
        <v/>
      </c>
      <c r="BZ16" s="118">
        <f>IF(AND(BZ$5&gt;=$L16,BZ$5&lt;=$N16),$K16,"")</f>
        <v/>
      </c>
      <c r="CC16" s="73" t="n"/>
      <c r="CD16" s="73" t="n"/>
    </row>
    <row r="17" s="74">
      <c r="A17" s="102" t="n"/>
      <c r="B17" s="106" t="n">
        <v>11</v>
      </c>
      <c r="C17" s="108" t="inlineStr">
        <is>
          <t>Монтаж геомембраны и устройство защитного слоя  основания РВС№13.5</t>
        </is>
      </c>
      <c r="D17" s="113" t="n"/>
      <c r="E17" s="120" t="n"/>
      <c r="F17" s="121" t="n"/>
      <c r="G17" s="121" t="n"/>
      <c r="H17" s="121" t="n"/>
      <c r="I17" s="121" t="n"/>
      <c r="J17" s="121" t="n"/>
      <c r="K17" s="113" t="n"/>
      <c r="L17" s="114" t="n">
        <v>46290</v>
      </c>
      <c r="M17" s="122" t="n">
        <v>2</v>
      </c>
      <c r="N17" s="109">
        <f>L17+M17-1</f>
        <v/>
      </c>
      <c r="O17" s="115">
        <f>IF(AND(O$5&gt;=$L17,O$5&lt;=$N17),$K17,"")</f>
        <v/>
      </c>
      <c r="P17" s="115">
        <f>IF(AND(P$5&gt;=$L17,P$5&lt;=$N17),$K17,"")</f>
        <v/>
      </c>
      <c r="Q17" s="115">
        <f>IF(AND(Q$5&gt;=$L17,Q$5&lt;=$N17),$K17,"")</f>
        <v/>
      </c>
      <c r="R17" s="115">
        <f>IF(AND(R$5&gt;=$L17,R$5&lt;=$N17),$K17,"")</f>
        <v/>
      </c>
      <c r="S17" s="115">
        <f>IF(AND(S$5&gt;=$L17,S$5&lt;=$N17),$K17,"")</f>
        <v/>
      </c>
      <c r="T17" s="115">
        <f>IF(AND(T$5&gt;=$L17,T$5&lt;=$N17),$K17,"")</f>
        <v/>
      </c>
      <c r="U17" s="115">
        <f>IF(AND(U$5&gt;=$L17,U$5&lt;=$N17),$K17,"")</f>
        <v/>
      </c>
      <c r="V17" s="115">
        <f>IF(AND(V$5&gt;=$L17,V$5&lt;=$N17),$K17,"")</f>
        <v/>
      </c>
      <c r="W17" s="115">
        <f>IF(AND(W$5&gt;=$L17,W$5&lt;=$N17),$K17,"")</f>
        <v/>
      </c>
      <c r="X17" s="115">
        <f>IF(AND(X$5&gt;=$L17,X$5&lt;=$N17),$K17,"")</f>
        <v/>
      </c>
      <c r="Y17" s="115">
        <f>IF(AND(Y$5&gt;=$L17,Y$5&lt;=$N17),$K17,"")</f>
        <v/>
      </c>
      <c r="Z17" s="115">
        <f>IF(AND(Z$5&gt;=$L17,Z$5&lt;=$N17),$K17,"")</f>
        <v/>
      </c>
      <c r="AA17" s="115">
        <f>IF(AND(AA$5&gt;=$L17,AA$5&lt;=$N17),$K17,"")</f>
        <v/>
      </c>
      <c r="AB17" s="115">
        <f>IF(AND(AB$5&gt;=$L17,AB$5&lt;=$N17),$K17,"")</f>
        <v/>
      </c>
      <c r="AC17" s="115">
        <f>IF(AND(AC$5&gt;=$L17,AC$5&lt;=$N17),$K17,"")</f>
        <v/>
      </c>
      <c r="AD17" s="115">
        <f>IF(AND(AD$5&gt;=$L17,AD$5&lt;=$N17),$K17,"")</f>
        <v/>
      </c>
      <c r="AE17" s="115">
        <f>IF(AND(AE$5&gt;=$L17,AE$5&lt;=$N17),$K17,"")</f>
        <v/>
      </c>
      <c r="AF17" s="115">
        <f>IF(AND(AF$5&gt;=$L17,AF$5&lt;=$N17),$K17,"")</f>
        <v/>
      </c>
      <c r="AG17" s="115">
        <f>IF(AND(AG$5&gt;=$L17,AG$5&lt;=$N17),$K17,"")</f>
        <v/>
      </c>
      <c r="AH17" s="115">
        <f>IF(AND(AH$5&gt;=$L17,AH$5&lt;=$N17),$K17,"")</f>
        <v/>
      </c>
      <c r="AI17" s="115">
        <f>IF(AND(AI$5&gt;=$L17,AI$5&lt;=$N17),$K17,"")</f>
        <v/>
      </c>
      <c r="AJ17" s="115">
        <f>IF(AND(AJ$5&gt;=$L17,AJ$5&lt;=$N17),$K17,"")</f>
        <v/>
      </c>
      <c r="AK17" s="115">
        <f>IF(AND(AK$5&gt;=$L17,AK$5&lt;=$N17),$K17,"")</f>
        <v/>
      </c>
      <c r="AL17" s="115">
        <f>IF(AND(AL$5&gt;=$L17,AL$5&lt;=$N17),$K17,"")</f>
        <v/>
      </c>
      <c r="AM17" s="115">
        <f>IF(AND(AM$5&gt;=$L17,AM$5&lt;=$N17),$K17,"")</f>
        <v/>
      </c>
      <c r="AN17" s="115">
        <f>IF(AND(AN$5&gt;=$L17,AN$5&lt;=$N17),$K17,"")</f>
        <v/>
      </c>
      <c r="AO17" s="115">
        <f>IF(AND(AO$5&gt;=$L17,AO$5&lt;=$N17),$K17,"")</f>
        <v/>
      </c>
      <c r="AP17" s="115">
        <f>IF(AND(AP$5&gt;=$L17,AP$5&lt;=$N17),$K17,"")</f>
        <v/>
      </c>
      <c r="AQ17" s="115">
        <f>IF(AND(AQ$5&gt;=$L17,AQ$5&lt;=$N17),$K17,"")</f>
        <v/>
      </c>
      <c r="AR17" s="115">
        <f>IF(AND(AR$5&gt;=$L17,AR$5&lt;=$N17),$K17,"")</f>
        <v/>
      </c>
      <c r="AS17" s="115">
        <f>IF(AND(AS$5&gt;=$L17,AS$5&lt;=$N17),$K17,"")</f>
        <v/>
      </c>
      <c r="AT17" s="115">
        <f>IF(AND(AT$5&gt;=$L17,AT$5&lt;=$N17),$K17,"")</f>
        <v/>
      </c>
      <c r="AU17" s="115">
        <f>IF(AND(AU$5&gt;=$L17,AU$5&lt;=$N17),$K17,"")</f>
        <v/>
      </c>
      <c r="AV17" s="116">
        <f>IF(AND(AV$5&gt;=$L17,AV$5&lt;=$N17),$K17,"")</f>
        <v/>
      </c>
      <c r="AW17" s="116">
        <f>IF(AND(AW$5&gt;=$L17,AW$5&lt;=$N17),$K17,"")</f>
        <v/>
      </c>
      <c r="AX17" s="116">
        <f>IF(AND(AX$5&gt;=$L17,AX$5&lt;=$N17),$K17,"")</f>
        <v/>
      </c>
      <c r="AY17" s="117">
        <f>IF(AND(AY$5&gt;=$L17,AY$5&lt;=$N17),$K17,"")</f>
        <v/>
      </c>
      <c r="AZ17" s="117">
        <f>IF(AND(AZ$5&gt;=$L17,AZ$5&lt;=$N17),$K17,"")</f>
        <v/>
      </c>
      <c r="BA17" s="117">
        <f>IF(AND(BA$5&gt;=$L17,BA$5&lt;=$N17),$K17,"")</f>
        <v/>
      </c>
      <c r="BB17" s="117">
        <f>IF(AND(BB$5&gt;=$L17,BB$5&lt;=$N17),$K17,"")</f>
        <v/>
      </c>
      <c r="BC17" s="117">
        <f>IF(AND(BC$5&gt;=$L17,BC$5&lt;=$N17),$K17,"")</f>
        <v/>
      </c>
      <c r="BD17" s="117">
        <f>IF(AND(BD$5&gt;=$L17,BD$5&lt;=$N17),$K17,"")</f>
        <v/>
      </c>
      <c r="BE17" s="117">
        <f>IF(AND(BE$5&gt;=$L17,BE$5&lt;=$N17),$K17,"")</f>
        <v/>
      </c>
      <c r="BF17" s="117">
        <f>IF(AND(BF$5&gt;=$L17,BF$5&lt;=$N17),$K17,"")</f>
        <v/>
      </c>
      <c r="BG17" s="118">
        <f>IF(AND(BG$5&gt;=$L17,BG$5&lt;=$N17),$K17,"")</f>
        <v/>
      </c>
      <c r="BH17" s="118">
        <f>IF(AND(BH$5&gt;=$L17,BH$5&lt;=$N17),$K17,"")</f>
        <v/>
      </c>
      <c r="BI17" s="118">
        <f>IF(AND(BI$5&gt;=$L17,BI$5&lt;=$N17),$K17,"")</f>
        <v/>
      </c>
      <c r="BJ17" s="118">
        <f>IF(AND(BJ$5&gt;=$L17,BJ$5&lt;=$N17),$K17,"")</f>
        <v/>
      </c>
      <c r="BK17" s="118">
        <f>IF(AND(BK$5&gt;=$L17,BK$5&lt;=$N17),$K17,"")</f>
        <v/>
      </c>
      <c r="BL17" s="118">
        <f>IF(AND(BL$5&gt;=$L17,BL$5&lt;=$N17),$K17,"")</f>
        <v/>
      </c>
      <c r="BM17" s="118">
        <f>IF(AND(BM$5&gt;=$L17,BM$5&lt;=$N17),$K17,"")</f>
        <v/>
      </c>
      <c r="BN17" s="118">
        <f>IF(AND(BN$5&gt;=$L17,BN$5&lt;=$N17),$K17,"")</f>
        <v/>
      </c>
      <c r="BO17" s="118">
        <f>IF(AND(BO$5&gt;=$L17,BO$5&lt;=$N17),$K17,"")</f>
        <v/>
      </c>
      <c r="BP17" s="118">
        <f>IF(AND(BP$5&gt;=$L17,BP$5&lt;=$N17),$K17,"")</f>
        <v/>
      </c>
      <c r="BQ17" s="118">
        <f>IF(AND(BQ$5&gt;=$L17,BQ$5&lt;=$N17),$K17,"")</f>
        <v/>
      </c>
      <c r="BR17" s="118">
        <f>IF(AND(BR$5&gt;=$L17,BR$5&lt;=$N17),$K17,"")</f>
        <v/>
      </c>
      <c r="BS17" s="118">
        <f>IF(AND(BS$5&gt;=$L17,BS$5&lt;=$N17),$K17,"")</f>
        <v/>
      </c>
      <c r="BT17" s="118">
        <f>IF(AND(BT$5&gt;=$L17,BT$5&lt;=$N17),$K17,"")</f>
        <v/>
      </c>
      <c r="BU17" s="118">
        <f>IF(AND(BU$5&gt;=$L17,BU$5&lt;=$N17),$K17,"")</f>
        <v/>
      </c>
      <c r="BV17" s="118">
        <f>IF(AND(BV$5&gt;=$L17,BV$5&lt;=$N17),$K17,"")</f>
        <v/>
      </c>
      <c r="BW17" s="118">
        <f>IF(AND(BW$5&gt;=$L17,BW$5&lt;=$N17),$K17,"")</f>
        <v/>
      </c>
      <c r="BX17" s="118">
        <f>IF(AND(BX$5&gt;=$L17,BX$5&lt;=$N17),$K17,"")</f>
        <v/>
      </c>
      <c r="BY17" s="118">
        <f>IF(AND(BY$5&gt;=$L17,BY$5&lt;=$N17),$K17,"")</f>
        <v/>
      </c>
      <c r="BZ17" s="118">
        <f>IF(AND(BZ$5&gt;=$L17,BZ$5&lt;=$N17),$K17,"")</f>
        <v/>
      </c>
      <c r="CA17" s="73" t="n"/>
      <c r="CB17" s="73" t="n"/>
      <c r="CC17" s="73" t="n"/>
      <c r="CD17" s="73" t="n"/>
      <c r="CE17" s="73" t="n"/>
      <c r="CF17" s="73" t="n"/>
      <c r="CG17" s="73" t="n"/>
      <c r="CH17" s="73" t="n"/>
      <c r="CI17" s="73" t="n"/>
      <c r="CJ17" s="73" t="n"/>
      <c r="CK17" s="73" t="n"/>
      <c r="CL17" s="73" t="n"/>
      <c r="CM17" s="73" t="n"/>
      <c r="CN17" s="73" t="n"/>
      <c r="CO17" s="73" t="n"/>
      <c r="CP17" s="73" t="n"/>
      <c r="CQ17" s="73" t="n"/>
      <c r="CR17" s="73" t="n"/>
      <c r="CS17" s="73" t="n"/>
      <c r="CT17" s="73" t="n"/>
      <c r="CU17" s="73" t="n"/>
      <c r="CV17" s="73" t="n"/>
      <c r="CW17" s="73" t="n"/>
      <c r="CX17" s="73" t="n"/>
      <c r="CY17" s="73" t="n"/>
      <c r="CZ17" s="73" t="n"/>
      <c r="DA17" s="73" t="n"/>
      <c r="DB17" s="73" t="n"/>
      <c r="DC17" s="73" t="n"/>
      <c r="DD17" s="73" t="n"/>
      <c r="DE17" s="73" t="n"/>
      <c r="DF17" s="73" t="n"/>
      <c r="DG17" s="73" t="n"/>
      <c r="DH17" s="73" t="n"/>
      <c r="DI17" s="73" t="n"/>
      <c r="DJ17" s="73" t="n"/>
      <c r="DK17" s="73" t="n"/>
      <c r="DL17" s="73" t="n"/>
      <c r="DM17" s="73" t="n"/>
      <c r="DN17" s="73" t="n"/>
      <c r="DO17" s="73" t="n"/>
      <c r="DP17" s="73" t="n"/>
      <c r="DQ17" s="73" t="n"/>
      <c r="DR17" s="73" t="n"/>
      <c r="DS17" s="73" t="n"/>
      <c r="DT17" s="73" t="n"/>
      <c r="DU17" s="73" t="n"/>
      <c r="DV17" s="73" t="n"/>
      <c r="DW17" s="73" t="n"/>
      <c r="DX17" s="73" t="n"/>
      <c r="DY17" s="73" t="n"/>
      <c r="DZ17" s="73" t="n"/>
      <c r="EA17" s="73" t="n"/>
      <c r="EB17" s="73" t="n"/>
      <c r="EC17" s="73" t="n"/>
      <c r="ED17" s="73" t="n"/>
      <c r="EE17" s="73" t="n"/>
      <c r="EF17" s="73" t="n"/>
      <c r="EG17" s="73" t="n"/>
      <c r="EH17" s="73" t="n"/>
      <c r="EI17" s="73" t="n"/>
      <c r="EJ17" s="73" t="n"/>
      <c r="EK17" s="73" t="n"/>
      <c r="EL17" s="73" t="n"/>
      <c r="EM17" s="73" t="n"/>
      <c r="EN17" s="73" t="n"/>
      <c r="EO17" s="73" t="n"/>
      <c r="EP17" s="73" t="n"/>
      <c r="EQ17" s="73" t="n"/>
      <c r="ER17" s="73" t="n"/>
      <c r="ES17" s="73" t="n"/>
      <c r="ET17" s="73" t="n"/>
      <c r="EU17" s="73" t="n"/>
      <c r="EV17" s="73" t="n"/>
      <c r="EW17" s="73" t="n"/>
      <c r="EX17" s="73" t="n"/>
      <c r="EY17" s="73" t="n"/>
      <c r="EZ17" s="73" t="n"/>
      <c r="FA17" s="73" t="n"/>
      <c r="FB17" s="73" t="n"/>
      <c r="FC17" s="73" t="n"/>
      <c r="FD17" s="73" t="n"/>
      <c r="FE17" s="73" t="n"/>
      <c r="FF17" s="73" t="n"/>
      <c r="FG17" s="73" t="n"/>
      <c r="FH17" s="73" t="n"/>
      <c r="FI17" s="73" t="n"/>
      <c r="FJ17" s="73" t="n"/>
      <c r="FK17" s="73" t="n"/>
      <c r="FL17" s="73" t="n"/>
      <c r="FM17" s="73" t="n"/>
      <c r="FN17" s="73" t="n"/>
      <c r="FO17" s="73" t="n"/>
      <c r="FP17" s="73" t="n"/>
      <c r="FQ17" s="73" t="n"/>
      <c r="FR17" s="73" t="n"/>
      <c r="FS17" s="73" t="n"/>
      <c r="FT17" s="73" t="n"/>
      <c r="FU17" s="73" t="n"/>
      <c r="FV17" s="73" t="n"/>
      <c r="FW17" s="73" t="n"/>
      <c r="FX17" s="73" t="n"/>
      <c r="FY17" s="73" t="n"/>
      <c r="FZ17" s="73" t="n"/>
      <c r="GA17" s="73" t="n"/>
      <c r="GB17" s="73" t="n"/>
      <c r="GC17" s="73" t="n"/>
      <c r="GD17" s="73" t="n"/>
      <c r="GE17" s="73" t="n"/>
      <c r="GF17" s="73" t="n"/>
      <c r="GG17" s="73" t="n"/>
      <c r="GH17" s="73" t="n"/>
      <c r="GI17" s="73" t="n"/>
      <c r="GJ17" s="73" t="n"/>
      <c r="GK17" s="73" t="n"/>
      <c r="GL17" s="73" t="n"/>
      <c r="GM17" s="73" t="n"/>
      <c r="GN17" s="73" t="n"/>
      <c r="GO17" s="73" t="n"/>
      <c r="GP17" s="73" t="n"/>
      <c r="GQ17" s="73" t="n"/>
      <c r="GR17" s="73" t="n"/>
      <c r="GS17" s="73" t="n"/>
      <c r="GT17" s="73" t="n"/>
      <c r="GU17" s="73" t="n"/>
      <c r="GV17" s="73" t="n"/>
      <c r="GW17" s="73" t="n"/>
      <c r="GX17" s="73" t="n"/>
      <c r="GY17" s="73" t="n"/>
      <c r="GZ17" s="73" t="n"/>
      <c r="HA17" s="73" t="n"/>
      <c r="HB17" s="73" t="n"/>
      <c r="HC17" s="73" t="n"/>
      <c r="HD17" s="73" t="n"/>
      <c r="HE17" s="73" t="n"/>
      <c r="HF17" s="73" t="n"/>
      <c r="HG17" s="73" t="n"/>
      <c r="HH17" s="73" t="n"/>
      <c r="HI17" s="73" t="n"/>
      <c r="HJ17" s="73" t="n"/>
      <c r="HK17" s="73" t="n"/>
      <c r="HL17" s="73" t="n"/>
      <c r="HM17" s="73" t="n"/>
      <c r="HN17" s="73" t="n"/>
      <c r="HO17" s="73" t="n"/>
      <c r="HP17" s="73" t="n"/>
      <c r="HQ17" s="73" t="n"/>
      <c r="HR17" s="73" t="n"/>
      <c r="HS17" s="73" t="n"/>
      <c r="HT17" s="73" t="n"/>
      <c r="HU17" s="73" t="n"/>
      <c r="HV17" s="73" t="n"/>
      <c r="HW17" s="73" t="n"/>
      <c r="HX17" s="73" t="n"/>
      <c r="HY17" s="73" t="n"/>
      <c r="HZ17" s="73" t="n"/>
      <c r="IA17" s="73" t="n"/>
      <c r="IB17" s="73" t="n"/>
      <c r="IC17" s="73" t="n"/>
      <c r="ID17" s="73" t="n"/>
      <c r="IE17" s="73" t="n"/>
      <c r="IF17" s="73" t="n"/>
      <c r="IG17" s="73" t="n"/>
      <c r="IH17" s="73" t="n"/>
      <c r="II17" s="73" t="n"/>
      <c r="IJ17" s="73" t="n"/>
      <c r="IK17" s="73" t="n"/>
      <c r="IL17" s="73" t="n"/>
      <c r="IM17" s="73" t="n"/>
      <c r="IN17" s="73" t="n"/>
      <c r="IO17" s="73" t="n"/>
      <c r="IP17" s="73" t="n"/>
      <c r="IQ17" s="73" t="n"/>
      <c r="IR17" s="73" t="n"/>
      <c r="IS17" s="73" t="n"/>
      <c r="IT17" s="73" t="n"/>
      <c r="IU17" s="73" t="n"/>
      <c r="IV17" s="73" t="n"/>
      <c r="IW17" s="73" t="n"/>
    </row>
    <row r="18" s="74">
      <c r="A18" s="102" t="n"/>
      <c r="B18" s="106" t="n">
        <v>12</v>
      </c>
      <c r="C18" s="126" t="inlineStr">
        <is>
          <t>Устройство гидрофобного слоя из асфальтобетона РВС №13.5, 13.6</t>
        </is>
      </c>
      <c r="D18" s="113" t="n"/>
      <c r="E18" s="120" t="n"/>
      <c r="F18" s="121" t="n"/>
      <c r="G18" s="121" t="n"/>
      <c r="H18" s="121" t="n"/>
      <c r="I18" s="121" t="n"/>
      <c r="J18" s="121" t="n"/>
      <c r="K18" s="113" t="n"/>
      <c r="L18" s="114" t="n">
        <v>46290</v>
      </c>
      <c r="M18" s="122" t="n">
        <v>3</v>
      </c>
      <c r="N18" s="109">
        <f>L18+M18-1</f>
        <v/>
      </c>
      <c r="O18" s="115">
        <f>IF(AND(O$5&gt;=$L18,O$5&lt;=$N18),$K18,"")</f>
        <v/>
      </c>
      <c r="P18" s="115">
        <f>IF(AND(P$5&gt;=$L18,P$5&lt;=$N18),$K18,"")</f>
        <v/>
      </c>
      <c r="Q18" s="115">
        <f>IF(AND(Q$5&gt;=$L18,Q$5&lt;=$N18),$K18,"")</f>
        <v/>
      </c>
      <c r="R18" s="115">
        <f>IF(AND(R$5&gt;=$L18,R$5&lt;=$N18),$K18,"")</f>
        <v/>
      </c>
      <c r="S18" s="115">
        <f>IF(AND(S$5&gt;=$L18,S$5&lt;=$N18),$K18,"")</f>
        <v/>
      </c>
      <c r="T18" s="115">
        <f>IF(AND(T$5&gt;=$L18,T$5&lt;=$N18),$K18,"")</f>
        <v/>
      </c>
      <c r="U18" s="115">
        <f>IF(AND(U$5&gt;=$L18,U$5&lt;=$N18),$K18,"")</f>
        <v/>
      </c>
      <c r="V18" s="115">
        <f>IF(AND(V$5&gt;=$L18,V$5&lt;=$N18),$K18,"")</f>
        <v/>
      </c>
      <c r="W18" s="115">
        <f>IF(AND(W$5&gt;=$L18,W$5&lt;=$N18),$K18,"")</f>
        <v/>
      </c>
      <c r="X18" s="115">
        <f>IF(AND(X$5&gt;=$L18,X$5&lt;=$N18),$K18,"")</f>
        <v/>
      </c>
      <c r="Y18" s="115">
        <f>IF(AND(Y$5&gt;=$L18,Y$5&lt;=$N18),$K18,"")</f>
        <v/>
      </c>
      <c r="Z18" s="115">
        <f>IF(AND(Z$5&gt;=$L18,Z$5&lt;=$N18),$K18,"")</f>
        <v/>
      </c>
      <c r="AA18" s="115">
        <f>IF(AND(AA$5&gt;=$L18,AA$5&lt;=$N18),$K18,"")</f>
        <v/>
      </c>
      <c r="AB18" s="115">
        <f>IF(AND(AB$5&gt;=$L18,AB$5&lt;=$N18),$K18,"")</f>
        <v/>
      </c>
      <c r="AC18" s="115">
        <f>IF(AND(AC$5&gt;=$L18,AC$5&lt;=$N18),$K18,"")</f>
        <v/>
      </c>
      <c r="AD18" s="115">
        <f>IF(AND(AD$5&gt;=$L18,AD$5&lt;=$N18),$K18,"")</f>
        <v/>
      </c>
      <c r="AE18" s="115">
        <f>IF(AND(AE$5&gt;=$L18,AE$5&lt;=$N18),$K18,"")</f>
        <v/>
      </c>
      <c r="AF18" s="115">
        <f>IF(AND(AF$5&gt;=$L18,AF$5&lt;=$N18),$K18,"")</f>
        <v/>
      </c>
      <c r="AG18" s="115">
        <f>IF(AND(AG$5&gt;=$L18,AG$5&lt;=$N18),$K18,"")</f>
        <v/>
      </c>
      <c r="AH18" s="115">
        <f>IF(AND(AH$5&gt;=$L18,AH$5&lt;=$N18),$K18,"")</f>
        <v/>
      </c>
      <c r="AI18" s="115">
        <f>IF(AND(AI$5&gt;=$L18,AI$5&lt;=$N18),$K18,"")</f>
        <v/>
      </c>
      <c r="AJ18" s="115">
        <f>IF(AND(AJ$5&gt;=$L18,AJ$5&lt;=$N18),$K18,"")</f>
        <v/>
      </c>
      <c r="AK18" s="115">
        <f>IF(AND(AK$5&gt;=$L18,AK$5&lt;=$N18),$K18,"")</f>
        <v/>
      </c>
      <c r="AL18" s="115">
        <f>IF(AND(AL$5&gt;=$L18,AL$5&lt;=$N18),$K18,"")</f>
        <v/>
      </c>
      <c r="AM18" s="115">
        <f>IF(AND(AM$5&gt;=$L18,AM$5&lt;=$N18),$K18,"")</f>
        <v/>
      </c>
      <c r="AN18" s="115">
        <f>IF(AND(AN$5&gt;=$L18,AN$5&lt;=$N18),$K18,"")</f>
        <v/>
      </c>
      <c r="AO18" s="115">
        <f>IF(AND(AO$5&gt;=$L18,AO$5&lt;=$N18),$K18,"")</f>
        <v/>
      </c>
      <c r="AP18" s="115">
        <f>IF(AND(AP$5&gt;=$L18,AP$5&lt;=$N18),$K18,"")</f>
        <v/>
      </c>
      <c r="AQ18" s="115">
        <f>IF(AND(AQ$5&gt;=$L18,AQ$5&lt;=$N18),$K18,"")</f>
        <v/>
      </c>
      <c r="AR18" s="115">
        <f>IF(AND(AR$5&gt;=$L18,AR$5&lt;=$N18),$K18,"")</f>
        <v/>
      </c>
      <c r="AS18" s="115">
        <f>IF(AND(AS$5&gt;=$L18,AS$5&lt;=$N18),$K18,"")</f>
        <v/>
      </c>
      <c r="AT18" s="115">
        <f>IF(AND(AT$5&gt;=$L18,AT$5&lt;=$N18),$K18,"")</f>
        <v/>
      </c>
      <c r="AU18" s="115">
        <f>IF(AND(AU$5&gt;=$L18,AU$5&lt;=$N18),$K18,"")</f>
        <v/>
      </c>
      <c r="AV18" s="116">
        <f>IF(AND(AV$5&gt;=$L18,AV$5&lt;=$N18),$K18,"")</f>
        <v/>
      </c>
      <c r="AW18" s="116">
        <f>IF(AND(AW$5&gt;=$L18,AW$5&lt;=$N18),$K18,"")</f>
        <v/>
      </c>
      <c r="AX18" s="116">
        <f>IF(AND(AX$5&gt;=$L18,AX$5&lt;=$N18),$K18,"")</f>
        <v/>
      </c>
      <c r="AY18" s="117">
        <f>IF(AND(AY$5&gt;=$L18,AY$5&lt;=$N18),$K18,"")</f>
        <v/>
      </c>
      <c r="AZ18" s="117">
        <f>IF(AND(AZ$5&gt;=$L18,AZ$5&lt;=$N18),$K18,"")</f>
        <v/>
      </c>
      <c r="BA18" s="117">
        <f>IF(AND(BA$5&gt;=$L18,BA$5&lt;=$N18),$K18,"")</f>
        <v/>
      </c>
      <c r="BB18" s="117">
        <f>IF(AND(BB$5&gt;=$L18,BB$5&lt;=$N18),$K18,"")</f>
        <v/>
      </c>
      <c r="BC18" s="117">
        <f>IF(AND(BC$5&gt;=$L18,BC$5&lt;=$N18),$K18,"")</f>
        <v/>
      </c>
      <c r="BD18" s="117">
        <f>IF(AND(BD$5&gt;=$L18,BD$5&lt;=$N18),$K18,"")</f>
        <v/>
      </c>
      <c r="BE18" s="117">
        <f>IF(AND(BE$5&gt;=$L18,BE$5&lt;=$N18),$K18,"")</f>
        <v/>
      </c>
      <c r="BF18" s="117">
        <f>IF(AND(BF$5&gt;=$L18,BF$5&lt;=$N18),$K18,"")</f>
        <v/>
      </c>
      <c r="BG18" s="118">
        <f>IF(AND(BG$5&gt;=$L18,BG$5&lt;=$N18),$K18,"")</f>
        <v/>
      </c>
      <c r="BH18" s="118">
        <f>IF(AND(BH$5&gt;=$L18,BH$5&lt;=$N18),$K18,"")</f>
        <v/>
      </c>
      <c r="BI18" s="118">
        <f>IF(AND(BI$5&gt;=$L18,BI$5&lt;=$N18),$K18,"")</f>
        <v/>
      </c>
      <c r="BJ18" s="118">
        <f>IF(AND(BJ$5&gt;=$L18,BJ$5&lt;=$N18),$K18,"")</f>
        <v/>
      </c>
      <c r="BK18" s="118">
        <f>IF(AND(BK$5&gt;=$L18,BK$5&lt;=$N18),$K18,"")</f>
        <v/>
      </c>
      <c r="BL18" s="118">
        <f>IF(AND(BL$5&gt;=$L18,BL$5&lt;=$N18),$K18,"")</f>
        <v/>
      </c>
      <c r="BM18" s="118">
        <f>IF(AND(BM$5&gt;=$L18,BM$5&lt;=$N18),$K18,"")</f>
        <v/>
      </c>
      <c r="BN18" s="118">
        <f>IF(AND(BN$5&gt;=$L18,BN$5&lt;=$N18),$K18,"")</f>
        <v/>
      </c>
      <c r="BO18" s="118">
        <f>IF(AND(BO$5&gt;=$L18,BO$5&lt;=$N18),$K18,"")</f>
        <v/>
      </c>
      <c r="BP18" s="118">
        <f>IF(AND(BP$5&gt;=$L18,BP$5&lt;=$N18),$K18,"")</f>
        <v/>
      </c>
      <c r="BQ18" s="118">
        <f>IF(AND(BQ$5&gt;=$L18,BQ$5&lt;=$N18),$K18,"")</f>
        <v/>
      </c>
      <c r="BR18" s="118">
        <f>IF(AND(BR$5&gt;=$L18,BR$5&lt;=$N18),$K18,"")</f>
        <v/>
      </c>
      <c r="BS18" s="118">
        <f>IF(AND(BS$5&gt;=$L18,BS$5&lt;=$N18),$K18,"")</f>
        <v/>
      </c>
      <c r="BT18" s="118">
        <f>IF(AND(BT$5&gt;=$L18,BT$5&lt;=$N18),$K18,"")</f>
        <v/>
      </c>
      <c r="BU18" s="118">
        <f>IF(AND(BU$5&gt;=$L18,BU$5&lt;=$N18),$K18,"")</f>
        <v/>
      </c>
      <c r="BV18" s="118">
        <f>IF(AND(BV$5&gt;=$L18,BV$5&lt;=$N18),$K18,"")</f>
        <v/>
      </c>
      <c r="BW18" s="118">
        <f>IF(AND(BW$5&gt;=$L18,BW$5&lt;=$N18),$K18,"")</f>
        <v/>
      </c>
      <c r="BX18" s="118">
        <f>IF(AND(BX$5&gt;=$L18,BX$5&lt;=$N18),$K18,"")</f>
        <v/>
      </c>
      <c r="BY18" s="118">
        <f>IF(AND(BY$5&gt;=$L18,BY$5&lt;=$N18),$K18,"")</f>
        <v/>
      </c>
      <c r="BZ18" s="118">
        <f>IF(AND(BZ$5&gt;=$L18,BZ$5&lt;=$N18),$K18,"")</f>
        <v/>
      </c>
      <c r="CC18" s="73" t="n"/>
      <c r="CD18" s="73" t="n"/>
    </row>
    <row r="19" s="74">
      <c r="A19" s="119" t="n"/>
      <c r="B19" s="106" t="n">
        <v>13</v>
      </c>
      <c r="C19" s="108" t="inlineStr">
        <is>
          <t>Монтаж геомембраны и устройство защитного слоя  основания РВС№ 13.9</t>
        </is>
      </c>
      <c r="D19" s="119" t="n"/>
      <c r="E19" s="129" t="n"/>
      <c r="F19" s="130" t="n"/>
      <c r="G19" s="130" t="n"/>
      <c r="H19" s="130" t="n"/>
      <c r="I19" s="130" t="n"/>
      <c r="J19" s="130" t="n"/>
      <c r="K19" s="119" t="n"/>
      <c r="L19" s="131" t="n">
        <v>46292</v>
      </c>
      <c r="M19" s="106" t="n">
        <v>2</v>
      </c>
      <c r="N19" s="131">
        <f>L19+M19-1</f>
        <v/>
      </c>
      <c r="O19" s="115">
        <f>IF(AND(O$5&gt;=$L19,O$5&lt;=$N19),$K19,"")</f>
        <v/>
      </c>
      <c r="P19" s="115">
        <f>IF(AND(P$5&gt;=$L19,P$5&lt;=$N19),$K19,"")</f>
        <v/>
      </c>
      <c r="Q19" s="115">
        <f>IF(AND(Q$5&gt;=$L19,Q$5&lt;=$N19),$K19,"")</f>
        <v/>
      </c>
      <c r="R19" s="115">
        <f>IF(AND(R$5&gt;=$L19,R$5&lt;=$N19),$K19,"")</f>
        <v/>
      </c>
      <c r="S19" s="115">
        <f>IF(AND(S$5&gt;=$L19,S$5&lt;=$N19),$K19,"")</f>
        <v/>
      </c>
      <c r="T19" s="115">
        <f>IF(AND(T$5&gt;=$L19,T$5&lt;=$N19),$K19,"")</f>
        <v/>
      </c>
      <c r="U19" s="115">
        <f>IF(AND(U$5&gt;=$L19,U$5&lt;=$N19),$K19,"")</f>
        <v/>
      </c>
      <c r="V19" s="115">
        <f>IF(AND(V$5&gt;=$L19,V$5&lt;=$N19),$K19,"")</f>
        <v/>
      </c>
      <c r="W19" s="115">
        <f>IF(AND(W$5&gt;=$L19,W$5&lt;=$N19),$K19,"")</f>
        <v/>
      </c>
      <c r="X19" s="115">
        <f>IF(AND(X$5&gt;=$L19,X$5&lt;=$N19),$K19,"")</f>
        <v/>
      </c>
      <c r="Y19" s="115">
        <f>IF(AND(Y$5&gt;=$L19,Y$5&lt;=$N19),$K19,"")</f>
        <v/>
      </c>
      <c r="Z19" s="115">
        <f>IF(AND(Z$5&gt;=$L19,Z$5&lt;=$N19),$K19,"")</f>
        <v/>
      </c>
      <c r="AA19" s="115">
        <f>IF(AND(AA$5&gt;=$L19,AA$5&lt;=$N19),$K19,"")</f>
        <v/>
      </c>
      <c r="AB19" s="115">
        <f>IF(AND(AB$5&gt;=$L19,AB$5&lt;=$N19),$K19,"")</f>
        <v/>
      </c>
      <c r="AC19" s="115">
        <f>IF(AND(AC$5&gt;=$L19,AC$5&lt;=$N19),$K19,"")</f>
        <v/>
      </c>
      <c r="AD19" s="115">
        <f>IF(AND(AD$5&gt;=$L19,AD$5&lt;=$N19),$K19,"")</f>
        <v/>
      </c>
      <c r="AE19" s="115">
        <f>IF(AND(AE$5&gt;=$L19,AE$5&lt;=$N19),$K19,"")</f>
        <v/>
      </c>
      <c r="AF19" s="115">
        <f>IF(AND(AF$5&gt;=$L19,AF$5&lt;=$N19),$K19,"")</f>
        <v/>
      </c>
      <c r="AG19" s="115">
        <f>IF(AND(AG$5&gt;=$L19,AG$5&lt;=$N19),$K19,"")</f>
        <v/>
      </c>
      <c r="AH19" s="115">
        <f>IF(AND(AH$5&gt;=$L19,AH$5&lt;=$N19),$K19,"")</f>
        <v/>
      </c>
      <c r="AI19" s="115">
        <f>IF(AND(AI$5&gt;=$L19,AI$5&lt;=$N19),$K19,"")</f>
        <v/>
      </c>
      <c r="AJ19" s="115">
        <f>IF(AND(AJ$5&gt;=$L19,AJ$5&lt;=$N19),$K19,"")</f>
        <v/>
      </c>
      <c r="AK19" s="115">
        <f>IF(AND(AK$5&gt;=$L19,AK$5&lt;=$N19),$K19,"")</f>
        <v/>
      </c>
      <c r="AL19" s="115">
        <f>IF(AND(AL$5&gt;=$L19,AL$5&lt;=$N19),$K19,"")</f>
        <v/>
      </c>
      <c r="AM19" s="115">
        <f>IF(AND(AM$5&gt;=$L19,AM$5&lt;=$N19),$K19,"")</f>
        <v/>
      </c>
      <c r="AN19" s="115">
        <f>IF(AND(AN$5&gt;=$L19,AN$5&lt;=$N19),$K19,"")</f>
        <v/>
      </c>
      <c r="AO19" s="115">
        <f>IF(AND(AO$5&gt;=$L19,AO$5&lt;=$N19),$K19,"")</f>
        <v/>
      </c>
      <c r="AP19" s="115">
        <f>IF(AND(AP$5&gt;=$L19,AP$5&lt;=$N19),$K19,"")</f>
        <v/>
      </c>
      <c r="AQ19" s="115">
        <f>IF(AND(AQ$5&gt;=$L19,AQ$5&lt;=$N19),$K19,"")</f>
        <v/>
      </c>
      <c r="AR19" s="115">
        <f>IF(AND(AR$5&gt;=$L19,AR$5&lt;=$N19),$K19,"")</f>
        <v/>
      </c>
      <c r="AS19" s="115">
        <f>IF(AND(AS$5&gt;=$L19,AS$5&lt;=$N19),$K19,"")</f>
        <v/>
      </c>
      <c r="AT19" s="115">
        <f>IF(AND(AT$5&gt;=$L19,AT$5&lt;=$N19),$K19,"")</f>
        <v/>
      </c>
      <c r="AU19" s="115">
        <f>IF(AND(AU$5&gt;=$L19,AU$5&lt;=$N19),$K19,"")</f>
        <v/>
      </c>
      <c r="AV19" s="116">
        <f>IF(AND(AV$5&gt;=$L19,AV$5&lt;=$N19),$K19,"")</f>
        <v/>
      </c>
      <c r="AW19" s="116">
        <f>IF(AND(AW$5&gt;=$L19,AW$5&lt;=$N19),$K19,"")</f>
        <v/>
      </c>
      <c r="AX19" s="116">
        <f>IF(AND(AX$5&gt;=$L19,AX$5&lt;=$N19),$K19,"")</f>
        <v/>
      </c>
      <c r="AY19" s="117">
        <f>IF(AND(AY$5&gt;=$L19,AY$5&lt;=$N19),$K19,"")</f>
        <v/>
      </c>
      <c r="AZ19" s="117">
        <f>IF(AND(AZ$5&gt;=$L19,AZ$5&lt;=$N19),$K19,"")</f>
        <v/>
      </c>
      <c r="BA19" s="117">
        <f>IF(AND(BA$5&gt;=$L19,BA$5&lt;=$N19),$K19,"")</f>
        <v/>
      </c>
      <c r="BB19" s="117">
        <f>IF(AND(BB$5&gt;=$L19,BB$5&lt;=$N19),$K19,"")</f>
        <v/>
      </c>
      <c r="BC19" s="117">
        <f>IF(AND(BC$5&gt;=$L19,BC$5&lt;=$N19),$K19,"")</f>
        <v/>
      </c>
      <c r="BD19" s="117">
        <f>IF(AND(BD$5&gt;=$L19,BD$5&lt;=$N19),$K19,"")</f>
        <v/>
      </c>
      <c r="BE19" s="117">
        <f>IF(AND(BE$5&gt;=$L19,BE$5&lt;=$N19),$K19,"")</f>
        <v/>
      </c>
      <c r="BF19" s="117">
        <f>IF(AND(BF$5&gt;=$L19,BF$5&lt;=$N19),$K19,"")</f>
        <v/>
      </c>
      <c r="BG19" s="118">
        <f>IF(AND(BG$5&gt;=$L19,BG$5&lt;=$N19),$K19,"")</f>
        <v/>
      </c>
      <c r="BH19" s="118">
        <f>IF(AND(BH$5&gt;=$L19,BH$5&lt;=$N19),$K19,"")</f>
        <v/>
      </c>
      <c r="BI19" s="118">
        <f>IF(AND(BI$5&gt;=$L19,BI$5&lt;=$N19),$K19,"")</f>
        <v/>
      </c>
      <c r="BJ19" s="118">
        <f>IF(AND(BJ$5&gt;=$L19,BJ$5&lt;=$N19),$K19,"")</f>
        <v/>
      </c>
      <c r="BK19" s="118">
        <f>IF(AND(BK$5&gt;=$L19,BK$5&lt;=$N19),$K19,"")</f>
        <v/>
      </c>
      <c r="BL19" s="118">
        <f>IF(AND(BL$5&gt;=$L19,BL$5&lt;=$N19),$K19,"")</f>
        <v/>
      </c>
      <c r="BM19" s="118">
        <f>IF(AND(BM$5&gt;=$L19,BM$5&lt;=$N19),$K19,"")</f>
        <v/>
      </c>
      <c r="BN19" s="118">
        <f>IF(AND(BN$5&gt;=$L19,BN$5&lt;=$N19),$K19,"")</f>
        <v/>
      </c>
      <c r="BO19" s="118">
        <f>IF(AND(BO$5&gt;=$L19,BO$5&lt;=$N19),$K19,"")</f>
        <v/>
      </c>
      <c r="BP19" s="118">
        <f>IF(AND(BP$5&gt;=$L19,BP$5&lt;=$N19),$K19,"")</f>
        <v/>
      </c>
      <c r="BQ19" s="118">
        <f>IF(AND(BQ$5&gt;=$L19,BQ$5&lt;=$N19),$K19,"")</f>
        <v/>
      </c>
      <c r="BR19" s="118">
        <f>IF(AND(BR$5&gt;=$L19,BR$5&lt;=$N19),$K19,"")</f>
        <v/>
      </c>
      <c r="BS19" s="118">
        <f>IF(AND(BS$5&gt;=$L19,BS$5&lt;=$N19),$K19,"")</f>
        <v/>
      </c>
      <c r="BT19" s="118">
        <f>IF(AND(BT$5&gt;=$L19,BT$5&lt;=$N19),$K19,"")</f>
        <v/>
      </c>
      <c r="BU19" s="118">
        <f>IF(AND(BU$5&gt;=$L19,BU$5&lt;=$N19),$K19,"")</f>
        <v/>
      </c>
      <c r="BV19" s="118">
        <f>IF(AND(BV$5&gt;=$L19,BV$5&lt;=$N19),$K19,"")</f>
        <v/>
      </c>
      <c r="BW19" s="118">
        <f>IF(AND(BW$5&gt;=$L19,BW$5&lt;=$N19),$K19,"")</f>
        <v/>
      </c>
      <c r="BX19" s="118">
        <f>IF(AND(BX$5&gt;=$L19,BX$5&lt;=$N19),$K19,"")</f>
        <v/>
      </c>
      <c r="BY19" s="123">
        <f>IF(AND(BY$5&gt;=$L19,BY$5&lt;=$N19),$K19,"")</f>
        <v/>
      </c>
      <c r="BZ19" s="123">
        <f>IF(AND(BZ$5&gt;=$L19,BZ$5&lt;=$N19),$K19,"")</f>
        <v/>
      </c>
      <c r="CA19" s="128" t="n"/>
      <c r="CB19" s="128" t="n"/>
      <c r="CC19" s="128" t="n"/>
      <c r="CD19" s="128" t="n"/>
      <c r="CE19" s="128" t="n"/>
      <c r="CF19" s="128" t="n"/>
      <c r="CG19" s="128" t="n"/>
      <c r="CH19" s="128" t="n"/>
    </row>
    <row r="20" s="74">
      <c r="A20" s="119" t="n"/>
      <c r="B20" s="106" t="n">
        <v>14</v>
      </c>
      <c r="C20" s="108" t="inlineStr">
        <is>
          <t>Монтаж геомембраны и устройство защитного слоя  основания РВС№13.7</t>
        </is>
      </c>
      <c r="D20" s="119" t="n"/>
      <c r="E20" s="129" t="n"/>
      <c r="F20" s="130" t="n"/>
      <c r="G20" s="130" t="n"/>
      <c r="H20" s="130" t="n"/>
      <c r="I20" s="130" t="n"/>
      <c r="J20" s="130" t="n"/>
      <c r="K20" s="119" t="n"/>
      <c r="L20" s="114" t="n">
        <v>46294</v>
      </c>
      <c r="M20" s="122" t="n">
        <v>2</v>
      </c>
      <c r="N20" s="109">
        <f>L20+M20-1</f>
        <v/>
      </c>
      <c r="O20" s="115">
        <f>IF(AND(O$5&gt;=$L20,O$5&lt;=$N20),$K20,"")</f>
        <v/>
      </c>
      <c r="P20" s="115">
        <f>IF(AND(P$5&gt;=$L20,P$5&lt;=$N20),$K20,"")</f>
        <v/>
      </c>
      <c r="Q20" s="115">
        <f>IF(AND(Q$5&gt;=$L20,Q$5&lt;=$N20),$K20,"")</f>
        <v/>
      </c>
      <c r="R20" s="115">
        <f>IF(AND(R$5&gt;=$L20,R$5&lt;=$N20),$K20,"")</f>
        <v/>
      </c>
      <c r="S20" s="115">
        <f>IF(AND(S$5&gt;=$L20,S$5&lt;=$N20),$K20,"")</f>
        <v/>
      </c>
      <c r="T20" s="115">
        <f>IF(AND(T$5&gt;=$L20,T$5&lt;=$N20),$K20,"")</f>
        <v/>
      </c>
      <c r="U20" s="115">
        <f>IF(AND(U$5&gt;=$L20,U$5&lt;=$N20),$K20,"")</f>
        <v/>
      </c>
      <c r="V20" s="115">
        <f>IF(AND(V$5&gt;=$L20,V$5&lt;=$N20),$K20,"")</f>
        <v/>
      </c>
      <c r="W20" s="115">
        <f>IF(AND(W$5&gt;=$L20,W$5&lt;=$N20),$K20,"")</f>
        <v/>
      </c>
      <c r="X20" s="115">
        <f>IF(AND(X$5&gt;=$L20,X$5&lt;=$N20),$K20,"")</f>
        <v/>
      </c>
      <c r="Y20" s="115">
        <f>IF(AND(Y$5&gt;=$L20,Y$5&lt;=$N20),$K20,"")</f>
        <v/>
      </c>
      <c r="Z20" s="115">
        <f>IF(AND(Z$5&gt;=$L20,Z$5&lt;=$N20),$K20,"")</f>
        <v/>
      </c>
      <c r="AA20" s="115">
        <f>IF(AND(AA$5&gt;=$L20,AA$5&lt;=$N20),$K20,"")</f>
        <v/>
      </c>
      <c r="AB20" s="115">
        <f>IF(AND(AB$5&gt;=$L20,AB$5&lt;=$N20),$K20,"")</f>
        <v/>
      </c>
      <c r="AC20" s="115">
        <f>IF(AND(AC$5&gt;=$L20,AC$5&lt;=$N20),$K20,"")</f>
        <v/>
      </c>
      <c r="AD20" s="115">
        <f>IF(AND(AD$5&gt;=$L20,AD$5&lt;=$N20),$K20,"")</f>
        <v/>
      </c>
      <c r="AE20" s="115">
        <f>IF(AND(AE$5&gt;=$L20,AE$5&lt;=$N20),$K20,"")</f>
        <v/>
      </c>
      <c r="AF20" s="115">
        <f>IF(AND(AF$5&gt;=$L20,AF$5&lt;=$N20),$K20,"")</f>
        <v/>
      </c>
      <c r="AG20" s="115">
        <f>IF(AND(AG$5&gt;=$L20,AG$5&lt;=$N20),$K20,"")</f>
        <v/>
      </c>
      <c r="AH20" s="115">
        <f>IF(AND(AH$5&gt;=$L20,AH$5&lt;=$N20),$K20,"")</f>
        <v/>
      </c>
      <c r="AI20" s="115">
        <f>IF(AND(AI$5&gt;=$L20,AI$5&lt;=$N20),$K20,"")</f>
        <v/>
      </c>
      <c r="AJ20" s="115">
        <f>IF(AND(AJ$5&gt;=$L20,AJ$5&lt;=$N20),$K20,"")</f>
        <v/>
      </c>
      <c r="AK20" s="115">
        <f>IF(AND(AK$5&gt;=$L20,AK$5&lt;=$N20),$K20,"")</f>
        <v/>
      </c>
      <c r="AL20" s="115">
        <f>IF(AND(AL$5&gt;=$L20,AL$5&lt;=$N20),$K20,"")</f>
        <v/>
      </c>
      <c r="AM20" s="115">
        <f>IF(AND(AM$5&gt;=$L20,AM$5&lt;=$N20),$K20,"")</f>
        <v/>
      </c>
      <c r="AN20" s="115">
        <f>IF(AND(AN$5&gt;=$L20,AN$5&lt;=$N20),$K20,"")</f>
        <v/>
      </c>
      <c r="AO20" s="115">
        <f>IF(AND(AO$5&gt;=$L20,AO$5&lt;=$N20),$K20,"")</f>
        <v/>
      </c>
      <c r="AP20" s="115">
        <f>IF(AND(AP$5&gt;=$L20,AP$5&lt;=$N20),$K20,"")</f>
        <v/>
      </c>
      <c r="AQ20" s="115">
        <f>IF(AND(AQ$5&gt;=$L20,AQ$5&lt;=$N20),$K20,"")</f>
        <v/>
      </c>
      <c r="AR20" s="115">
        <f>IF(AND(AR$5&gt;=$L20,AR$5&lt;=$N20),$K20,"")</f>
        <v/>
      </c>
      <c r="AS20" s="115">
        <f>IF(AND(AS$5&gt;=$L20,AS$5&lt;=$N20),$K20,"")</f>
        <v/>
      </c>
      <c r="AT20" s="115">
        <f>IF(AND(AT$5&gt;=$L20,AT$5&lt;=$N20),$K20,"")</f>
        <v/>
      </c>
      <c r="AU20" s="115">
        <f>IF(AND(AU$5&gt;=$L20,AU$5&lt;=$N20),$K20,"")</f>
        <v/>
      </c>
      <c r="AV20" s="116">
        <f>IF(AND(AV$5&gt;=$L20,AV$5&lt;=$N20),$K20,"")</f>
        <v/>
      </c>
      <c r="AW20" s="116">
        <f>IF(AND(AW$5&gt;=$L20,AW$5&lt;=$N20),$K20,"")</f>
        <v/>
      </c>
      <c r="AX20" s="116">
        <f>IF(AND(AX$5&gt;=$L20,AX$5&lt;=$N20),$K20,"")</f>
        <v/>
      </c>
      <c r="AY20" s="117">
        <f>IF(AND(AY$5&gt;=$L20,AY$5&lt;=$N20),$K20,"")</f>
        <v/>
      </c>
      <c r="AZ20" s="117">
        <f>IF(AND(AZ$5&gt;=$L20,AZ$5&lt;=$N20),$K20,"")</f>
        <v/>
      </c>
      <c r="BA20" s="117">
        <f>IF(AND(BA$5&gt;=$L20,BA$5&lt;=$N20),$K20,"")</f>
        <v/>
      </c>
      <c r="BB20" s="117">
        <f>IF(AND(BB$5&gt;=$L20,BB$5&lt;=$N20),$K20,"")</f>
        <v/>
      </c>
      <c r="BC20" s="117">
        <f>IF(AND(BC$5&gt;=$L20,BC$5&lt;=$N20),$K20,"")</f>
        <v/>
      </c>
      <c r="BD20" s="117">
        <f>IF(AND(BD$5&gt;=$L20,BD$5&lt;=$N20),$K20,"")</f>
        <v/>
      </c>
      <c r="BE20" s="117">
        <f>IF(AND(BE$5&gt;=$L20,BE$5&lt;=$N20),$K20,"")</f>
        <v/>
      </c>
      <c r="BF20" s="117">
        <f>IF(AND(BF$5&gt;=$L20,BF$5&lt;=$N20),$K20,"")</f>
        <v/>
      </c>
      <c r="BG20" s="118">
        <f>IF(AND(BG$5&gt;=$L20,BG$5&lt;=$N20),$K20,"")</f>
        <v/>
      </c>
      <c r="BH20" s="118">
        <f>IF(AND(BH$5&gt;=$L20,BH$5&lt;=$N20),$K20,"")</f>
        <v/>
      </c>
      <c r="BI20" s="118">
        <f>IF(AND(BI$5&gt;=$L20,BI$5&lt;=$N20),$K20,"")</f>
        <v/>
      </c>
      <c r="BJ20" s="118">
        <f>IF(AND(BJ$5&gt;=$L20,BJ$5&lt;=$N20),$K20,"")</f>
        <v/>
      </c>
      <c r="BK20" s="118">
        <f>IF(AND(BK$5&gt;=$L20,BK$5&lt;=$N20),$K20,"")</f>
        <v/>
      </c>
      <c r="BL20" s="118">
        <f>IF(AND(BL$5&gt;=$L20,BL$5&lt;=$N20),$K20,"")</f>
        <v/>
      </c>
      <c r="BM20" s="118">
        <f>IF(AND(BM$5&gt;=$L20,BM$5&lt;=$N20),$K20,"")</f>
        <v/>
      </c>
      <c r="BN20" s="118">
        <f>IF(AND(BN$5&gt;=$L20,BN$5&lt;=$N20),$K20,"")</f>
        <v/>
      </c>
      <c r="BO20" s="118">
        <f>IF(AND(BO$5&gt;=$L20,BO$5&lt;=$N20),$K20,"")</f>
        <v/>
      </c>
      <c r="BP20" s="118">
        <f>IF(AND(BP$5&gt;=$L20,BP$5&lt;=$N20),$K20,"")</f>
        <v/>
      </c>
      <c r="BQ20" s="118">
        <f>IF(AND(BQ$5&gt;=$L20,BQ$5&lt;=$N20),$K20,"")</f>
        <v/>
      </c>
      <c r="BR20" s="118">
        <f>IF(AND(BR$5&gt;=$L20,BR$5&lt;=$N20),$K20,"")</f>
        <v/>
      </c>
      <c r="BS20" s="118">
        <f>IF(AND(BS$5&gt;=$L20,BS$5&lt;=$N20),$K20,"")</f>
        <v/>
      </c>
      <c r="BT20" s="118">
        <f>IF(AND(BT$5&gt;=$L20,BT$5&lt;=$N20),$K20,"")</f>
        <v/>
      </c>
      <c r="BU20" s="118">
        <f>IF(AND(BU$5&gt;=$L20,BU$5&lt;=$N20),$K20,"")</f>
        <v/>
      </c>
      <c r="BV20" s="118">
        <f>IF(AND(BV$5&gt;=$L20,BV$5&lt;=$N20),$K20,"")</f>
        <v/>
      </c>
      <c r="BW20" s="118">
        <f>IF(AND(BW$5&gt;=$L20,BW$5&lt;=$N20),$K20,"")</f>
        <v/>
      </c>
      <c r="BX20" s="118">
        <f>IF(AND(BX$5&gt;=$L20,BX$5&lt;=$N20),$K20,"")</f>
        <v/>
      </c>
      <c r="BY20" s="123">
        <f>IF(AND(BY$5&gt;=$L20,BY$5&lt;=$N20),$K20,"")</f>
        <v/>
      </c>
      <c r="BZ20" s="123">
        <f>IF(AND(BZ$5&gt;=$L20,BZ$5&lt;=$N20),$K20,"")</f>
        <v/>
      </c>
      <c r="CA20" s="128" t="n"/>
      <c r="CB20" s="128" t="n"/>
      <c r="CC20" s="128" t="n"/>
      <c r="CD20" s="128" t="n"/>
      <c r="CE20" s="128" t="n"/>
      <c r="CF20" s="128" t="n"/>
      <c r="CG20" s="128" t="n"/>
      <c r="CH20" s="128" t="n"/>
    </row>
    <row r="21" s="74">
      <c r="A21" s="119" t="n"/>
      <c r="B21" s="106" t="n">
        <v>15</v>
      </c>
      <c r="C21" s="126" t="inlineStr">
        <is>
          <t>Устройство гидрофобного слоя из асфальтобетона РВС №13.7, 13.9</t>
        </is>
      </c>
      <c r="D21" s="119" t="n"/>
      <c r="E21" s="129" t="n"/>
      <c r="F21" s="130" t="n"/>
      <c r="G21" s="130" t="n"/>
      <c r="H21" s="130" t="n"/>
      <c r="I21" s="130" t="n"/>
      <c r="J21" s="130" t="n"/>
      <c r="K21" s="119" t="n"/>
      <c r="L21" s="131" t="n">
        <v>46295</v>
      </c>
      <c r="M21" s="122" t="n">
        <v>2</v>
      </c>
      <c r="N21" s="131">
        <f>L21+M21-1</f>
        <v/>
      </c>
      <c r="O21" s="115">
        <f>IF(AND(O$5&gt;=$L21,O$5&lt;=$N21),$K21,"")</f>
        <v/>
      </c>
      <c r="P21" s="115">
        <f>IF(AND(P$5&gt;=$L21,P$5&lt;=$N21),$K21,"")</f>
        <v/>
      </c>
      <c r="Q21" s="115">
        <f>IF(AND(Q$5&gt;=$L21,Q$5&lt;=$N21),$K21,"")</f>
        <v/>
      </c>
      <c r="R21" s="115">
        <f>IF(AND(R$5&gt;=$L21,R$5&lt;=$N21),$K21,"")</f>
        <v/>
      </c>
      <c r="S21" s="115">
        <f>IF(AND(S$5&gt;=$L21,S$5&lt;=$N21),$K21,"")</f>
        <v/>
      </c>
      <c r="T21" s="115">
        <f>IF(AND(T$5&gt;=$L21,T$5&lt;=$N21),$K21,"")</f>
        <v/>
      </c>
      <c r="U21" s="115">
        <f>IF(AND(U$5&gt;=$L21,U$5&lt;=$N21),$K21,"")</f>
        <v/>
      </c>
      <c r="V21" s="115">
        <f>IF(AND(V$5&gt;=$L21,V$5&lt;=$N21),$K21,"")</f>
        <v/>
      </c>
      <c r="W21" s="115">
        <f>IF(AND(W$5&gt;=$L21,W$5&lt;=$N21),$K21,"")</f>
        <v/>
      </c>
      <c r="X21" s="115">
        <f>IF(AND(X$5&gt;=$L21,X$5&lt;=$N21),$K21,"")</f>
        <v/>
      </c>
      <c r="Y21" s="115">
        <f>IF(AND(Y$5&gt;=$L21,Y$5&lt;=$N21),$K21,"")</f>
        <v/>
      </c>
      <c r="Z21" s="115">
        <f>IF(AND(Z$5&gt;=$L21,Z$5&lt;=$N21),$K21,"")</f>
        <v/>
      </c>
      <c r="AA21" s="115">
        <f>IF(AND(AA$5&gt;=$L21,AA$5&lt;=$N21),$K21,"")</f>
        <v/>
      </c>
      <c r="AB21" s="115">
        <f>IF(AND(AB$5&gt;=$L21,AB$5&lt;=$N21),$K21,"")</f>
        <v/>
      </c>
      <c r="AC21" s="115">
        <f>IF(AND(AC$5&gt;=$L21,AC$5&lt;=$N21),$K21,"")</f>
        <v/>
      </c>
      <c r="AD21" s="115">
        <f>IF(AND(AD$5&gt;=$L21,AD$5&lt;=$N21),$K21,"")</f>
        <v/>
      </c>
      <c r="AE21" s="115">
        <f>IF(AND(AE$5&gt;=$L21,AE$5&lt;=$N21),$K21,"")</f>
        <v/>
      </c>
      <c r="AF21" s="115">
        <f>IF(AND(AF$5&gt;=$L21,AF$5&lt;=$N21),$K21,"")</f>
        <v/>
      </c>
      <c r="AG21" s="115">
        <f>IF(AND(AG$5&gt;=$L21,AG$5&lt;=$N21),$K21,"")</f>
        <v/>
      </c>
      <c r="AH21" s="115">
        <f>IF(AND(AH$5&gt;=$L21,AH$5&lt;=$N21),$K21,"")</f>
        <v/>
      </c>
      <c r="AI21" s="115">
        <f>IF(AND(AI$5&gt;=$L21,AI$5&lt;=$N21),$K21,"")</f>
        <v/>
      </c>
      <c r="AJ21" s="115">
        <f>IF(AND(AJ$5&gt;=$L21,AJ$5&lt;=$N21),$K21,"")</f>
        <v/>
      </c>
      <c r="AK21" s="115">
        <f>IF(AND(AK$5&gt;=$L21,AK$5&lt;=$N21),$K21,"")</f>
        <v/>
      </c>
      <c r="AL21" s="115">
        <f>IF(AND(AL$5&gt;=$L21,AL$5&lt;=$N21),$K21,"")</f>
        <v/>
      </c>
      <c r="AM21" s="115">
        <f>IF(AND(AM$5&gt;=$L21,AM$5&lt;=$N21),$K21,"")</f>
        <v/>
      </c>
      <c r="AN21" s="115">
        <f>IF(AND(AN$5&gt;=$L21,AN$5&lt;=$N21),$K21,"")</f>
        <v/>
      </c>
      <c r="AO21" s="115">
        <f>IF(AND(AO$5&gt;=$L21,AO$5&lt;=$N21),$K21,"")</f>
        <v/>
      </c>
      <c r="AP21" s="115">
        <f>IF(AND(AP$5&gt;=$L21,AP$5&lt;=$N21),$K21,"")</f>
        <v/>
      </c>
      <c r="AQ21" s="115">
        <f>IF(AND(AQ$5&gt;=$L21,AQ$5&lt;=$N21),$K21,"")</f>
        <v/>
      </c>
      <c r="AR21" s="115">
        <f>IF(AND(AR$5&gt;=$L21,AR$5&lt;=$N21),$K21,"")</f>
        <v/>
      </c>
      <c r="AS21" s="115">
        <f>IF(AND(AS$5&gt;=$L21,AS$5&lt;=$N21),$K21,"")</f>
        <v/>
      </c>
      <c r="AT21" s="115">
        <f>IF(AND(AT$5&gt;=$L21,AT$5&lt;=$N21),$K21,"")</f>
        <v/>
      </c>
      <c r="AU21" s="115">
        <f>IF(AND(AU$5&gt;=$L21,AU$5&lt;=$N21),$K21,"")</f>
        <v/>
      </c>
      <c r="AV21" s="116">
        <f>IF(AND(AV$5&gt;=$L21,AV$5&lt;=$N21),$K21,"")</f>
        <v/>
      </c>
      <c r="AW21" s="116">
        <f>IF(AND(AW$5&gt;=$L21,AW$5&lt;=$N21),$K21,"")</f>
        <v/>
      </c>
      <c r="AX21" s="116">
        <f>IF(AND(AX$5&gt;=$L21,AX$5&lt;=$N21),$K21,"")</f>
        <v/>
      </c>
      <c r="AY21" s="117">
        <f>IF(AND(AY$5&gt;=$L21,AY$5&lt;=$N21),$K21,"")</f>
        <v/>
      </c>
      <c r="AZ21" s="117">
        <f>IF(AND(AZ$5&gt;=$L21,AZ$5&lt;=$N21),$K21,"")</f>
        <v/>
      </c>
      <c r="BA21" s="117">
        <f>IF(AND(BA$5&gt;=$L21,BA$5&lt;=$N21),$K21,"")</f>
        <v/>
      </c>
      <c r="BB21" s="117">
        <f>IF(AND(BB$5&gt;=$L21,BB$5&lt;=$N21),$K21,"")</f>
        <v/>
      </c>
      <c r="BC21" s="117">
        <f>IF(AND(BC$5&gt;=$L21,BC$5&lt;=$N21),$K21,"")</f>
        <v/>
      </c>
      <c r="BD21" s="117">
        <f>IF(AND(BD$5&gt;=$L21,BD$5&lt;=$N21),$K21,"")</f>
        <v/>
      </c>
      <c r="BE21" s="117">
        <f>IF(AND(BE$5&gt;=$L21,BE$5&lt;=$N21),$K21,"")</f>
        <v/>
      </c>
      <c r="BF21" s="117">
        <f>IF(AND(BF$5&gt;=$L21,BF$5&lt;=$N21),$K21,"")</f>
        <v/>
      </c>
      <c r="BG21" s="118">
        <f>IF(AND(BG$5&gt;=$L21,BG$5&lt;=$N21),$K21,"")</f>
        <v/>
      </c>
      <c r="BH21" s="118">
        <f>IF(AND(BH$5&gt;=$L21,BH$5&lt;=$N21),$K21,"")</f>
        <v/>
      </c>
      <c r="BI21" s="118">
        <f>IF(AND(BI$5&gt;=$L21,BI$5&lt;=$N21),$K21,"")</f>
        <v/>
      </c>
      <c r="BJ21" s="118">
        <f>IF(AND(BJ$5&gt;=$L21,BJ$5&lt;=$N21),$K21,"")</f>
        <v/>
      </c>
      <c r="BK21" s="118">
        <f>IF(AND(BK$5&gt;=$L21,BK$5&lt;=$N21),$K21,"")</f>
        <v/>
      </c>
      <c r="BL21" s="118">
        <f>IF(AND(BL$5&gt;=$L21,BL$5&lt;=$N21),$K21,"")</f>
        <v/>
      </c>
      <c r="BM21" s="118">
        <f>IF(AND(BM$5&gt;=$L21,BM$5&lt;=$N21),$K21,"")</f>
        <v/>
      </c>
      <c r="BN21" s="118">
        <f>IF(AND(BN$5&gt;=$L21,BN$5&lt;=$N21),$K21,"")</f>
        <v/>
      </c>
      <c r="BO21" s="118">
        <f>IF(AND(BO$5&gt;=$L21,BO$5&lt;=$N21),$K21,"")</f>
        <v/>
      </c>
      <c r="BP21" s="118">
        <f>IF(AND(BP$5&gt;=$L21,BP$5&lt;=$N21),$K21,"")</f>
        <v/>
      </c>
      <c r="BQ21" s="118">
        <f>IF(AND(BQ$5&gt;=$L21,BQ$5&lt;=$N21),$K21,"")</f>
        <v/>
      </c>
      <c r="BR21" s="118">
        <f>IF(AND(BR$5&gt;=$L21,BR$5&lt;=$N21),$K21,"")</f>
        <v/>
      </c>
      <c r="BS21" s="118">
        <f>IF(AND(BS$5&gt;=$L21,BS$5&lt;=$N21),$K21,"")</f>
        <v/>
      </c>
      <c r="BT21" s="118">
        <f>IF(AND(BT$5&gt;=$L21,BT$5&lt;=$N21),$K21,"")</f>
        <v/>
      </c>
      <c r="BU21" s="118">
        <f>IF(AND(BU$5&gt;=$L21,BU$5&lt;=$N21),$K21,"")</f>
        <v/>
      </c>
      <c r="BV21" s="118">
        <f>IF(AND(BV$5&gt;=$L21,BV$5&lt;=$N21),$K21,"")</f>
        <v/>
      </c>
      <c r="BW21" s="118">
        <f>IF(AND(BW$5&gt;=$L21,BW$5&lt;=$N21),$K21,"")</f>
        <v/>
      </c>
      <c r="BX21" s="118">
        <f>IF(AND(BX$5&gt;=$L21,BX$5&lt;=$N21),$K21,"")</f>
        <v/>
      </c>
      <c r="BY21" s="123">
        <f>IF(AND(BY$5&gt;=$L21,BY$5&lt;=$N21),$K21,"")</f>
        <v/>
      </c>
      <c r="BZ21" s="123">
        <f>IF(AND(BZ$5&gt;=$L21,BZ$5&lt;=$N21),$K21,"")</f>
        <v/>
      </c>
      <c r="CA21" s="128" t="n"/>
      <c r="CB21" s="128" t="n"/>
      <c r="CC21" s="128" t="n"/>
      <c r="CD21" s="128" t="n"/>
      <c r="CE21" s="128" t="n"/>
      <c r="CF21" s="128" t="n"/>
      <c r="CG21" s="128" t="n"/>
      <c r="CH21" s="128" t="n"/>
    </row>
    <row r="22" s="74">
      <c r="A22" s="119" t="n"/>
      <c r="B22" s="106" t="n">
        <v>16</v>
      </c>
      <c r="C22" s="108" t="inlineStr">
        <is>
          <t>Устройство бетонной подготовки фундаментов КФ  РВС№13.3, 13.4</t>
        </is>
      </c>
      <c r="D22" s="119" t="n"/>
      <c r="E22" s="129" t="n"/>
      <c r="F22" s="130" t="n"/>
      <c r="G22" s="130" t="n"/>
      <c r="H22" s="130" t="n"/>
      <c r="I22" s="130" t="n"/>
      <c r="J22" s="130" t="n"/>
      <c r="K22" s="119" t="n"/>
      <c r="L22" s="131" t="n">
        <v>46288</v>
      </c>
      <c r="M22" s="106" t="n">
        <v>2</v>
      </c>
      <c r="N22" s="131">
        <f>L22+M22-1</f>
        <v/>
      </c>
      <c r="O22" s="115">
        <f>IF(AND(O$5&gt;=$L22,O$5&lt;=$N22),$K22,"")</f>
        <v/>
      </c>
      <c r="P22" s="115">
        <f>IF(AND(P$5&gt;=$L22,P$5&lt;=$N22),$K22,"")</f>
        <v/>
      </c>
      <c r="Q22" s="115">
        <f>IF(AND(Q$5&gt;=$L22,Q$5&lt;=$N22),$K22,"")</f>
        <v/>
      </c>
      <c r="R22" s="115">
        <f>IF(AND(R$5&gt;=$L22,R$5&lt;=$N22),$K22,"")</f>
        <v/>
      </c>
      <c r="S22" s="115">
        <f>IF(AND(S$5&gt;=$L22,S$5&lt;=$N22),$K22,"")</f>
        <v/>
      </c>
      <c r="T22" s="115">
        <f>IF(AND(T$5&gt;=$L22,T$5&lt;=$N22),$K22,"")</f>
        <v/>
      </c>
      <c r="U22" s="115">
        <f>IF(AND(U$5&gt;=$L22,U$5&lt;=$N22),$K22,"")</f>
        <v/>
      </c>
      <c r="V22" s="115">
        <f>IF(AND(V$5&gt;=$L22,V$5&lt;=$N22),$K22,"")</f>
        <v/>
      </c>
      <c r="W22" s="115">
        <f>IF(AND(W$5&gt;=$L22,W$5&lt;=$N22),$K22,"")</f>
        <v/>
      </c>
      <c r="X22" s="115">
        <f>IF(AND(X$5&gt;=$L22,X$5&lt;=$N22),$K22,"")</f>
        <v/>
      </c>
      <c r="Y22" s="115">
        <f>IF(AND(Y$5&gt;=$L22,Y$5&lt;=$N22),$K22,"")</f>
        <v/>
      </c>
      <c r="Z22" s="115">
        <f>IF(AND(Z$5&gt;=$L22,Z$5&lt;=$N22),$K22,"")</f>
        <v/>
      </c>
      <c r="AA22" s="115">
        <f>IF(AND(AA$5&gt;=$L22,AA$5&lt;=$N22),$K22,"")</f>
        <v/>
      </c>
      <c r="AB22" s="115">
        <f>IF(AND(AB$5&gt;=$L22,AB$5&lt;=$N22),$K22,"")</f>
        <v/>
      </c>
      <c r="AC22" s="115">
        <f>IF(AND(AC$5&gt;=$L22,AC$5&lt;=$N22),$K22,"")</f>
        <v/>
      </c>
      <c r="AD22" s="115">
        <f>IF(AND(AD$5&gt;=$L22,AD$5&lt;=$N22),$K22,"")</f>
        <v/>
      </c>
      <c r="AE22" s="115">
        <f>IF(AND(AE$5&gt;=$L22,AE$5&lt;=$N22),$K22,"")</f>
        <v/>
      </c>
      <c r="AF22" s="115">
        <f>IF(AND(AF$5&gt;=$L22,AF$5&lt;=$N22),$K22,"")</f>
        <v/>
      </c>
      <c r="AG22" s="115">
        <f>IF(AND(AG$5&gt;=$L22,AG$5&lt;=$N22),$K22,"")</f>
        <v/>
      </c>
      <c r="AH22" s="115">
        <f>IF(AND(AH$5&gt;=$L22,AH$5&lt;=$N22),$K22,"")</f>
        <v/>
      </c>
      <c r="AI22" s="115">
        <f>IF(AND(AI$5&gt;=$L22,AI$5&lt;=$N22),$K22,"")</f>
        <v/>
      </c>
      <c r="AJ22" s="115">
        <f>IF(AND(AJ$5&gt;=$L22,AJ$5&lt;=$N22),$K22,"")</f>
        <v/>
      </c>
      <c r="AK22" s="115">
        <f>IF(AND(AK$5&gt;=$L22,AK$5&lt;=$N22),$K22,"")</f>
        <v/>
      </c>
      <c r="AL22" s="115">
        <f>IF(AND(AL$5&gt;=$L22,AL$5&lt;=$N22),$K22,"")</f>
        <v/>
      </c>
      <c r="AM22" s="115">
        <f>IF(AND(AM$5&gt;=$L22,AM$5&lt;=$N22),$K22,"")</f>
        <v/>
      </c>
      <c r="AN22" s="115">
        <f>IF(AND(AN$5&gt;=$L22,AN$5&lt;=$N22),$K22,"")</f>
        <v/>
      </c>
      <c r="AO22" s="115">
        <f>IF(AND(AO$5&gt;=$L22,AO$5&lt;=$N22),$K22,"")</f>
        <v/>
      </c>
      <c r="AP22" s="115">
        <f>IF(AND(AP$5&gt;=$L22,AP$5&lt;=$N22),$K22,"")</f>
        <v/>
      </c>
      <c r="AQ22" s="115">
        <f>IF(AND(AQ$5&gt;=$L22,AQ$5&lt;=$N22),$K22,"")</f>
        <v/>
      </c>
      <c r="AR22" s="115">
        <f>IF(AND(AR$5&gt;=$L22,AR$5&lt;=$N22),$K22,"")</f>
        <v/>
      </c>
      <c r="AS22" s="115">
        <f>IF(AND(AS$5&gt;=$L22,AS$5&lt;=$N22),$K22,"")</f>
        <v/>
      </c>
      <c r="AT22" s="115">
        <f>IF(AND(AT$5&gt;=$L22,AT$5&lt;=$N22),$K22,"")</f>
        <v/>
      </c>
      <c r="AU22" s="115">
        <f>IF(AND(AU$5&gt;=$L22,AU$5&lt;=$N22),$K22,"")</f>
        <v/>
      </c>
      <c r="AV22" s="116">
        <f>IF(AND(AV$5&gt;=$L22,AV$5&lt;=$N22),$K22,"")</f>
        <v/>
      </c>
      <c r="AW22" s="116">
        <f>IF(AND(AW$5&gt;=$L22,AW$5&lt;=$N22),$K22,"")</f>
        <v/>
      </c>
      <c r="AX22" s="116">
        <f>IF(AND(AX$5&gt;=$L22,AX$5&lt;=$N22),$K22,"")</f>
        <v/>
      </c>
      <c r="AY22" s="117">
        <f>IF(AND(AY$5&gt;=$L22,AY$5&lt;=$N22),$K22,"")</f>
        <v/>
      </c>
      <c r="AZ22" s="117">
        <f>IF(AND(AZ$5&gt;=$L22,AZ$5&lt;=$N22),$K22,"")</f>
        <v/>
      </c>
      <c r="BA22" s="117">
        <f>IF(AND(BA$5&gt;=$L22,BA$5&lt;=$N22),$K22,"")</f>
        <v/>
      </c>
      <c r="BB22" s="117">
        <f>IF(AND(BB$5&gt;=$L22,BB$5&lt;=$N22),$K22,"")</f>
        <v/>
      </c>
      <c r="BC22" s="117">
        <f>IF(AND(BC$5&gt;=$L22,BC$5&lt;=$N22),$K22,"")</f>
        <v/>
      </c>
      <c r="BD22" s="117">
        <f>IF(AND(BD$5&gt;=$L22,BD$5&lt;=$N22),$K22,"")</f>
        <v/>
      </c>
      <c r="BE22" s="117">
        <f>IF(AND(BE$5&gt;=$L22,BE$5&lt;=$N22),$K22,"")</f>
        <v/>
      </c>
      <c r="BF22" s="117">
        <f>IF(AND(BF$5&gt;=$L22,BF$5&lt;=$N22),$K22,"")</f>
        <v/>
      </c>
      <c r="BG22" s="118">
        <f>IF(AND(BG$5&gt;=$L22,BG$5&lt;=$N22),$K22,"")</f>
        <v/>
      </c>
      <c r="BH22" s="118">
        <f>IF(AND(BH$5&gt;=$L22,BH$5&lt;=$N22),$K22,"")</f>
        <v/>
      </c>
      <c r="BI22" s="118">
        <f>IF(AND(BI$5&gt;=$L22,BI$5&lt;=$N22),$K22,"")</f>
        <v/>
      </c>
      <c r="BJ22" s="118">
        <f>IF(AND(BJ$5&gt;=$L22,BJ$5&lt;=$N22),$K22,"")</f>
        <v/>
      </c>
      <c r="BK22" s="118">
        <f>IF(AND(BK$5&gt;=$L22,BK$5&lt;=$N22),$K22,"")</f>
        <v/>
      </c>
      <c r="BL22" s="118">
        <f>IF(AND(BL$5&gt;=$L22,BL$5&lt;=$N22),$K22,"")</f>
        <v/>
      </c>
      <c r="BM22" s="118">
        <f>IF(AND(BM$5&gt;=$L22,BM$5&lt;=$N22),$K22,"")</f>
        <v/>
      </c>
      <c r="BN22" s="118">
        <f>IF(AND(BN$5&gt;=$L22,BN$5&lt;=$N22),$K22,"")</f>
        <v/>
      </c>
      <c r="BO22" s="118">
        <f>IF(AND(BO$5&gt;=$L22,BO$5&lt;=$N22),$K22,"")</f>
        <v/>
      </c>
      <c r="BP22" s="118">
        <f>IF(AND(BP$5&gt;=$L22,BP$5&lt;=$N22),$K22,"")</f>
        <v/>
      </c>
      <c r="BQ22" s="118">
        <f>IF(AND(BQ$5&gt;=$L22,BQ$5&lt;=$N22),$K22,"")</f>
        <v/>
      </c>
      <c r="BR22" s="118">
        <f>IF(AND(BR$5&gt;=$L22,BR$5&lt;=$N22),$K22,"")</f>
        <v/>
      </c>
      <c r="BS22" s="118">
        <f>IF(AND(BS$5&gt;=$L22,BS$5&lt;=$N22),$K22,"")</f>
        <v/>
      </c>
      <c r="BT22" s="118">
        <f>IF(AND(BT$5&gt;=$L22,BT$5&lt;=$N22),$K22,"")</f>
        <v/>
      </c>
      <c r="BU22" s="118">
        <f>IF(AND(BU$5&gt;=$L22,BU$5&lt;=$N22),$K22,"")</f>
        <v/>
      </c>
      <c r="BV22" s="118">
        <f>IF(AND(BV$5&gt;=$L22,BV$5&lt;=$N22),$K22,"")</f>
        <v/>
      </c>
      <c r="BW22" s="118">
        <f>IF(AND(BW$5&gt;=$L22,BW$5&lt;=$N22),$K22,"")</f>
        <v/>
      </c>
      <c r="BX22" s="118">
        <f>IF(AND(BX$5&gt;=$L22,BX$5&lt;=$N22),$K22,"")</f>
        <v/>
      </c>
      <c r="BY22" s="123">
        <f>IF(AND(BY$5&gt;=$L22,BY$5&lt;=$N22),$K22,"")</f>
        <v/>
      </c>
      <c r="BZ22" s="123">
        <f>IF(AND(BZ$5&gt;=$L22,BZ$5&lt;=$N22),$K22,"")</f>
        <v/>
      </c>
      <c r="CA22" s="128" t="n"/>
      <c r="CB22" s="128" t="n"/>
      <c r="CC22" s="128" t="n"/>
      <c r="CD22" s="128" t="n"/>
      <c r="CE22" s="128" t="n"/>
      <c r="CF22" s="128" t="n"/>
      <c r="CG22" s="128" t="n"/>
      <c r="CH22" s="128" t="n"/>
    </row>
    <row r="23" s="74">
      <c r="A23" s="119" t="n"/>
      <c r="B23" s="106" t="n">
        <v>17</v>
      </c>
      <c r="C23" s="108" t="inlineStr">
        <is>
          <t>Армирование фундаментов РВС№13.3, 13.4</t>
        </is>
      </c>
      <c r="D23" s="119" t="n"/>
      <c r="E23" s="129" t="n"/>
      <c r="F23" s="130" t="n"/>
      <c r="G23" s="130" t="n"/>
      <c r="H23" s="130" t="n"/>
      <c r="I23" s="130" t="n"/>
      <c r="J23" s="130" t="n"/>
      <c r="K23" s="119" t="n"/>
      <c r="L23" s="131" t="n">
        <v>46291</v>
      </c>
      <c r="M23" s="106" t="n">
        <v>2</v>
      </c>
      <c r="N23" s="131">
        <f>L23+M23-1</f>
        <v/>
      </c>
      <c r="O23" s="115">
        <f>IF(AND(O$5&gt;=$L23,O$5&lt;=$N23),$K23,"")</f>
        <v/>
      </c>
      <c r="P23" s="115">
        <f>IF(AND(P$5&gt;=$L23,P$5&lt;=$N23),$K23,"")</f>
        <v/>
      </c>
      <c r="Q23" s="115">
        <f>IF(AND(Q$5&gt;=$L23,Q$5&lt;=$N23),$K23,"")</f>
        <v/>
      </c>
      <c r="R23" s="115">
        <f>IF(AND(R$5&gt;=$L23,R$5&lt;=$N23),$K23,"")</f>
        <v/>
      </c>
      <c r="S23" s="115">
        <f>IF(AND(S$5&gt;=$L23,S$5&lt;=$N23),$K23,"")</f>
        <v/>
      </c>
      <c r="T23" s="115">
        <f>IF(AND(T$5&gt;=$L23,T$5&lt;=$N23),$K23,"")</f>
        <v/>
      </c>
      <c r="U23" s="115">
        <f>IF(AND(U$5&gt;=$L23,U$5&lt;=$N23),$K23,"")</f>
        <v/>
      </c>
      <c r="V23" s="115">
        <f>IF(AND(V$5&gt;=$L23,V$5&lt;=$N23),$K23,"")</f>
        <v/>
      </c>
      <c r="W23" s="115">
        <f>IF(AND(W$5&gt;=$L23,W$5&lt;=$N23),$K23,"")</f>
        <v/>
      </c>
      <c r="X23" s="115">
        <f>IF(AND(X$5&gt;=$L23,X$5&lt;=$N23),$K23,"")</f>
        <v/>
      </c>
      <c r="Y23" s="115">
        <f>IF(AND(Y$5&gt;=$L23,Y$5&lt;=$N23),$K23,"")</f>
        <v/>
      </c>
      <c r="Z23" s="115">
        <f>IF(AND(Z$5&gt;=$L23,Z$5&lt;=$N23),$K23,"")</f>
        <v/>
      </c>
      <c r="AA23" s="115">
        <f>IF(AND(AA$5&gt;=$L23,AA$5&lt;=$N23),$K23,"")</f>
        <v/>
      </c>
      <c r="AB23" s="115">
        <f>IF(AND(AB$5&gt;=$L23,AB$5&lt;=$N23),$K23,"")</f>
        <v/>
      </c>
      <c r="AC23" s="115">
        <f>IF(AND(AC$5&gt;=$L23,AC$5&lt;=$N23),$K23,"")</f>
        <v/>
      </c>
      <c r="AD23" s="115">
        <f>IF(AND(AD$5&gt;=$L23,AD$5&lt;=$N23),$K23,"")</f>
        <v/>
      </c>
      <c r="AE23" s="115">
        <f>IF(AND(AE$5&gt;=$L23,AE$5&lt;=$N23),$K23,"")</f>
        <v/>
      </c>
      <c r="AF23" s="115">
        <f>IF(AND(AF$5&gt;=$L23,AF$5&lt;=$N23),$K23,"")</f>
        <v/>
      </c>
      <c r="AG23" s="115">
        <f>IF(AND(AG$5&gt;=$L23,AG$5&lt;=$N23),$K23,"")</f>
        <v/>
      </c>
      <c r="AH23" s="115">
        <f>IF(AND(AH$5&gt;=$L23,AH$5&lt;=$N23),$K23,"")</f>
        <v/>
      </c>
      <c r="AI23" s="115">
        <f>IF(AND(AI$5&gt;=$L23,AI$5&lt;=$N23),$K23,"")</f>
        <v/>
      </c>
      <c r="AJ23" s="115">
        <f>IF(AND(AJ$5&gt;=$L23,AJ$5&lt;=$N23),$K23,"")</f>
        <v/>
      </c>
      <c r="AK23" s="115">
        <f>IF(AND(AK$5&gt;=$L23,AK$5&lt;=$N23),$K23,"")</f>
        <v/>
      </c>
      <c r="AL23" s="115">
        <f>IF(AND(AL$5&gt;=$L23,AL$5&lt;=$N23),$K23,"")</f>
        <v/>
      </c>
      <c r="AM23" s="115">
        <f>IF(AND(AM$5&gt;=$L23,AM$5&lt;=$N23),$K23,"")</f>
        <v/>
      </c>
      <c r="AN23" s="115">
        <f>IF(AND(AN$5&gt;=$L23,AN$5&lt;=$N23),$K23,"")</f>
        <v/>
      </c>
      <c r="AO23" s="115">
        <f>IF(AND(AO$5&gt;=$L23,AO$5&lt;=$N23),$K23,"")</f>
        <v/>
      </c>
      <c r="AP23" s="115">
        <f>IF(AND(AP$5&gt;=$L23,AP$5&lt;=$N23),$K23,"")</f>
        <v/>
      </c>
      <c r="AQ23" s="115">
        <f>IF(AND(AQ$5&gt;=$L23,AQ$5&lt;=$N23),$K23,"")</f>
        <v/>
      </c>
      <c r="AR23" s="115">
        <f>IF(AND(AR$5&gt;=$L23,AR$5&lt;=$N23),$K23,"")</f>
        <v/>
      </c>
      <c r="AS23" s="115">
        <f>IF(AND(AS$5&gt;=$L23,AS$5&lt;=$N23),$K23,"")</f>
        <v/>
      </c>
      <c r="AT23" s="115">
        <f>IF(AND(AT$5&gt;=$L23,AT$5&lt;=$N23),$K23,"")</f>
        <v/>
      </c>
      <c r="AU23" s="115">
        <f>IF(AND(AU$5&gt;=$L23,AU$5&lt;=$N23),$K23,"")</f>
        <v/>
      </c>
      <c r="AV23" s="116">
        <f>IF(AND(AV$5&gt;=$L23,AV$5&lt;=$N23),$K23,"")</f>
        <v/>
      </c>
      <c r="AW23" s="116">
        <f>IF(AND(AW$5&gt;=$L23,AW$5&lt;=$N23),$K23,"")</f>
        <v/>
      </c>
      <c r="AX23" s="116">
        <f>IF(AND(AX$5&gt;=$L23,AX$5&lt;=$N23),$K23,"")</f>
        <v/>
      </c>
      <c r="AY23" s="117">
        <f>IF(AND(AY$5&gt;=$L23,AY$5&lt;=$N23),$K23,"")</f>
        <v/>
      </c>
      <c r="AZ23" s="117">
        <f>IF(AND(AZ$5&gt;=$L23,AZ$5&lt;=$N23),$K23,"")</f>
        <v/>
      </c>
      <c r="BA23" s="117">
        <f>IF(AND(BA$5&gt;=$L23,BA$5&lt;=$N23),$K23,"")</f>
        <v/>
      </c>
      <c r="BB23" s="117">
        <f>IF(AND(BB$5&gt;=$L23,BB$5&lt;=$N23),$K23,"")</f>
        <v/>
      </c>
      <c r="BC23" s="117">
        <f>IF(AND(BC$5&gt;=$L23,BC$5&lt;=$N23),$K23,"")</f>
        <v/>
      </c>
      <c r="BD23" s="117">
        <f>IF(AND(BD$5&gt;=$L23,BD$5&lt;=$N23),$K23,"")</f>
        <v/>
      </c>
      <c r="BE23" s="117">
        <f>IF(AND(BE$5&gt;=$L23,BE$5&lt;=$N23),$K23,"")</f>
        <v/>
      </c>
      <c r="BF23" s="117">
        <f>IF(AND(BF$5&gt;=$L23,BF$5&lt;=$N23),$K23,"")</f>
        <v/>
      </c>
      <c r="BG23" s="118">
        <f>IF(AND(BG$5&gt;=$L23,BG$5&lt;=$N23),$K23,"")</f>
        <v/>
      </c>
      <c r="BH23" s="118">
        <f>IF(AND(BH$5&gt;=$L23,BH$5&lt;=$N23),$K23,"")</f>
        <v/>
      </c>
      <c r="BI23" s="118">
        <f>IF(AND(BI$5&gt;=$L23,BI$5&lt;=$N23),$K23,"")</f>
        <v/>
      </c>
      <c r="BJ23" s="118">
        <f>IF(AND(BJ$5&gt;=$L23,BJ$5&lt;=$N23),$K23,"")</f>
        <v/>
      </c>
      <c r="BK23" s="118">
        <f>IF(AND(BK$5&gt;=$L23,BK$5&lt;=$N23),$K23,"")</f>
        <v/>
      </c>
      <c r="BL23" s="118">
        <f>IF(AND(BL$5&gt;=$L23,BL$5&lt;=$N23),$K23,"")</f>
        <v/>
      </c>
      <c r="BM23" s="118">
        <f>IF(AND(BM$5&gt;=$L23,BM$5&lt;=$N23),$K23,"")</f>
        <v/>
      </c>
      <c r="BN23" s="118">
        <f>IF(AND(BN$5&gt;=$L23,BN$5&lt;=$N23),$K23,"")</f>
        <v/>
      </c>
      <c r="BO23" s="118">
        <f>IF(AND(BO$5&gt;=$L23,BO$5&lt;=$N23),$K23,"")</f>
        <v/>
      </c>
      <c r="BP23" s="118">
        <f>IF(AND(BP$5&gt;=$L23,BP$5&lt;=$N23),$K23,"")</f>
        <v/>
      </c>
      <c r="BQ23" s="118">
        <f>IF(AND(BQ$5&gt;=$L23,BQ$5&lt;=$N23),$K23,"")</f>
        <v/>
      </c>
      <c r="BR23" s="118">
        <f>IF(AND(BR$5&gt;=$L23,BR$5&lt;=$N23),$K23,"")</f>
        <v/>
      </c>
      <c r="BS23" s="118">
        <f>IF(AND(BS$5&gt;=$L23,BS$5&lt;=$N23),$K23,"")</f>
        <v/>
      </c>
      <c r="BT23" s="118">
        <f>IF(AND(BT$5&gt;=$L23,BT$5&lt;=$N23),$K23,"")</f>
        <v/>
      </c>
      <c r="BU23" s="118">
        <f>IF(AND(BU$5&gt;=$L23,BU$5&lt;=$N23),$K23,"")</f>
        <v/>
      </c>
      <c r="BV23" s="118">
        <f>IF(AND(BV$5&gt;=$L23,BV$5&lt;=$N23),$K23,"")</f>
        <v/>
      </c>
      <c r="BW23" s="118">
        <f>IF(AND(BW$5&gt;=$L23,BW$5&lt;=$N23),$K23,"")</f>
        <v/>
      </c>
      <c r="BX23" s="118">
        <f>IF(AND(BX$5&gt;=$L23,BX$5&lt;=$N23),$K23,"")</f>
        <v/>
      </c>
      <c r="BY23" s="123">
        <f>IF(AND(BY$5&gt;=$L23,BY$5&lt;=$N23),$K23,"")</f>
        <v/>
      </c>
      <c r="BZ23" s="123">
        <f>IF(AND(BZ$5&gt;=$L23,BZ$5&lt;=$N23),$K23,"")</f>
        <v/>
      </c>
      <c r="CA23" s="128" t="n"/>
      <c r="CB23" s="128" t="n"/>
      <c r="CC23" s="128" t="n"/>
      <c r="CD23" s="128" t="n"/>
      <c r="CE23" s="128" t="n"/>
      <c r="CF23" s="128" t="n"/>
      <c r="CG23" s="128" t="n"/>
      <c r="CH23" s="128" t="n"/>
    </row>
    <row r="24" s="74">
      <c r="A24" s="119" t="n"/>
      <c r="B24" s="106" t="n">
        <v>18</v>
      </c>
      <c r="C24" s="108" t="inlineStr">
        <is>
          <t>Бетонирование КФ РВС№13.3, 13.4</t>
        </is>
      </c>
      <c r="D24" s="119" t="n"/>
      <c r="E24" s="129" t="n"/>
      <c r="F24" s="130" t="n"/>
      <c r="G24" s="130" t="n"/>
      <c r="H24" s="130" t="n"/>
      <c r="I24" s="130" t="n"/>
      <c r="J24" s="130" t="n"/>
      <c r="K24" s="119" t="n"/>
      <c r="L24" s="131" t="n">
        <v>46295</v>
      </c>
      <c r="M24" s="106" t="n">
        <v>1</v>
      </c>
      <c r="N24" s="131">
        <f>L24+M24-1</f>
        <v/>
      </c>
      <c r="O24" s="115">
        <f>IF(AND(O$5&gt;=$L24,O$5&lt;=$N24),$K24,"")</f>
        <v/>
      </c>
      <c r="P24" s="115">
        <f>IF(AND(P$5&gt;=$L24,P$5&lt;=$N24),$K24,"")</f>
        <v/>
      </c>
      <c r="Q24" s="115">
        <f>IF(AND(Q$5&gt;=$L24,Q$5&lt;=$N24),$K24,"")</f>
        <v/>
      </c>
      <c r="R24" s="115">
        <f>IF(AND(R$5&gt;=$L24,R$5&lt;=$N24),$K24,"")</f>
        <v/>
      </c>
      <c r="S24" s="115">
        <f>IF(AND(S$5&gt;=$L24,S$5&lt;=$N24),$K24,"")</f>
        <v/>
      </c>
      <c r="T24" s="115">
        <f>IF(AND(T$5&gt;=$L24,T$5&lt;=$N24),$K24,"")</f>
        <v/>
      </c>
      <c r="U24" s="115">
        <f>IF(AND(U$5&gt;=$L24,U$5&lt;=$N24),$K24,"")</f>
        <v/>
      </c>
      <c r="V24" s="115">
        <f>IF(AND(V$5&gt;=$L24,V$5&lt;=$N24),$K24,"")</f>
        <v/>
      </c>
      <c r="W24" s="115">
        <f>IF(AND(W$5&gt;=$L24,W$5&lt;=$N24),$K24,"")</f>
        <v/>
      </c>
      <c r="X24" s="115">
        <f>IF(AND(X$5&gt;=$L24,X$5&lt;=$N24),$K24,"")</f>
        <v/>
      </c>
      <c r="Y24" s="115">
        <f>IF(AND(Y$5&gt;=$L24,Y$5&lt;=$N24),$K24,"")</f>
        <v/>
      </c>
      <c r="Z24" s="115">
        <f>IF(AND(Z$5&gt;=$L24,Z$5&lt;=$N24),$K24,"")</f>
        <v/>
      </c>
      <c r="AA24" s="115">
        <f>IF(AND(AA$5&gt;=$L24,AA$5&lt;=$N24),$K24,"")</f>
        <v/>
      </c>
      <c r="AB24" s="115">
        <f>IF(AND(AB$5&gt;=$L24,AB$5&lt;=$N24),$K24,"")</f>
        <v/>
      </c>
      <c r="AC24" s="115">
        <f>IF(AND(AC$5&gt;=$L24,AC$5&lt;=$N24),$K24,"")</f>
        <v/>
      </c>
      <c r="AD24" s="115">
        <f>IF(AND(AD$5&gt;=$L24,AD$5&lt;=$N24),$K24,"")</f>
        <v/>
      </c>
      <c r="AE24" s="115">
        <f>IF(AND(AE$5&gt;=$L24,AE$5&lt;=$N24),$K24,"")</f>
        <v/>
      </c>
      <c r="AF24" s="115">
        <f>IF(AND(AF$5&gt;=$L24,AF$5&lt;=$N24),$K24,"")</f>
        <v/>
      </c>
      <c r="AG24" s="115">
        <f>IF(AND(AG$5&gt;=$L24,AG$5&lt;=$N24),$K24,"")</f>
        <v/>
      </c>
      <c r="AH24" s="115">
        <f>IF(AND(AH$5&gt;=$L24,AH$5&lt;=$N24),$K24,"")</f>
        <v/>
      </c>
      <c r="AI24" s="115">
        <f>IF(AND(AI$5&gt;=$L24,AI$5&lt;=$N24),$K24,"")</f>
        <v/>
      </c>
      <c r="AJ24" s="115">
        <f>IF(AND(AJ$5&gt;=$L24,AJ$5&lt;=$N24),$K24,"")</f>
        <v/>
      </c>
      <c r="AK24" s="115">
        <f>IF(AND(AK$5&gt;=$L24,AK$5&lt;=$N24),$K24,"")</f>
        <v/>
      </c>
      <c r="AL24" s="115">
        <f>IF(AND(AL$5&gt;=$L24,AL$5&lt;=$N24),$K24,"")</f>
        <v/>
      </c>
      <c r="AM24" s="115">
        <f>IF(AND(AM$5&gt;=$L24,AM$5&lt;=$N24),$K24,"")</f>
        <v/>
      </c>
      <c r="AN24" s="115">
        <f>IF(AND(AN$5&gt;=$L24,AN$5&lt;=$N24),$K24,"")</f>
        <v/>
      </c>
      <c r="AO24" s="115">
        <f>IF(AND(AO$5&gt;=$L24,AO$5&lt;=$N24),$K24,"")</f>
        <v/>
      </c>
      <c r="AP24" s="115">
        <f>IF(AND(AP$5&gt;=$L24,AP$5&lt;=$N24),$K24,"")</f>
        <v/>
      </c>
      <c r="AQ24" s="115">
        <f>IF(AND(AQ$5&gt;=$L24,AQ$5&lt;=$N24),$K24,"")</f>
        <v/>
      </c>
      <c r="AR24" s="115">
        <f>IF(AND(AR$5&gt;=$L24,AR$5&lt;=$N24),$K24,"")</f>
        <v/>
      </c>
      <c r="AS24" s="115">
        <f>IF(AND(AS$5&gt;=$L24,AS$5&lt;=$N24),$K24,"")</f>
        <v/>
      </c>
      <c r="AT24" s="115">
        <f>IF(AND(AT$5&gt;=$L24,AT$5&lt;=$N24),$K24,"")</f>
        <v/>
      </c>
      <c r="AU24" s="115">
        <f>IF(AND(AU$5&gt;=$L24,AU$5&lt;=$N24),$K24,"")</f>
        <v/>
      </c>
      <c r="AV24" s="116">
        <f>IF(AND(AV$5&gt;=$L24,AV$5&lt;=$N24),$K24,"")</f>
        <v/>
      </c>
      <c r="AW24" s="116">
        <f>IF(AND(AW$5&gt;=$L24,AW$5&lt;=$N24),$K24,"")</f>
        <v/>
      </c>
      <c r="AX24" s="116">
        <f>IF(AND(AX$5&gt;=$L24,AX$5&lt;=$N24),$K24,"")</f>
        <v/>
      </c>
      <c r="AY24" s="117">
        <f>IF(AND(AY$5&gt;=$L24,AY$5&lt;=$N24),$K24,"")</f>
        <v/>
      </c>
      <c r="AZ24" s="117">
        <f>IF(AND(AZ$5&gt;=$L24,AZ$5&lt;=$N24),$K24,"")</f>
        <v/>
      </c>
      <c r="BA24" s="117">
        <f>IF(AND(BA$5&gt;=$L24,BA$5&lt;=$N24),$K24,"")</f>
        <v/>
      </c>
      <c r="BB24" s="117">
        <f>IF(AND(BB$5&gt;=$L24,BB$5&lt;=$N24),$K24,"")</f>
        <v/>
      </c>
      <c r="BC24" s="117">
        <f>IF(AND(BC$5&gt;=$L24,BC$5&lt;=$N24),$K24,"")</f>
        <v/>
      </c>
      <c r="BD24" s="117">
        <f>IF(AND(BD$5&gt;=$L24,BD$5&lt;=$N24),$K24,"")</f>
        <v/>
      </c>
      <c r="BE24" s="117">
        <f>IF(AND(BE$5&gt;=$L24,BE$5&lt;=$N24),$K24,"")</f>
        <v/>
      </c>
      <c r="BF24" s="117">
        <f>IF(AND(BF$5&gt;=$L24,BF$5&lt;=$N24),$K24,"")</f>
        <v/>
      </c>
      <c r="BG24" s="118">
        <f>IF(AND(BG$5&gt;=$L24,BG$5&lt;=$N24),$K24,"")</f>
        <v/>
      </c>
      <c r="BH24" s="118">
        <f>IF(AND(BH$5&gt;=$L24,BH$5&lt;=$N24),$K24,"")</f>
        <v/>
      </c>
      <c r="BI24" s="118">
        <f>IF(AND(BI$5&gt;=$L24,BI$5&lt;=$N24),$K24,"")</f>
        <v/>
      </c>
      <c r="BJ24" s="118">
        <f>IF(AND(BJ$5&gt;=$L24,BJ$5&lt;=$N24),$K24,"")</f>
        <v/>
      </c>
      <c r="BK24" s="118">
        <f>IF(AND(BK$5&gt;=$L24,BK$5&lt;=$N24),$K24,"")</f>
        <v/>
      </c>
      <c r="BL24" s="118">
        <f>IF(AND(BL$5&gt;=$L24,BL$5&lt;=$N24),$K24,"")</f>
        <v/>
      </c>
      <c r="BM24" s="118">
        <f>IF(AND(BM$5&gt;=$L24,BM$5&lt;=$N24),$K24,"")</f>
        <v/>
      </c>
      <c r="BN24" s="118">
        <f>IF(AND(BN$5&gt;=$L24,BN$5&lt;=$N24),$K24,"")</f>
        <v/>
      </c>
      <c r="BO24" s="118">
        <f>IF(AND(BO$5&gt;=$L24,BO$5&lt;=$N24),$K24,"")</f>
        <v/>
      </c>
      <c r="BP24" s="118">
        <f>IF(AND(BP$5&gt;=$L24,BP$5&lt;=$N24),$K24,"")</f>
        <v/>
      </c>
      <c r="BQ24" s="118">
        <f>IF(AND(BQ$5&gt;=$L24,BQ$5&lt;=$N24),$K24,"")</f>
        <v/>
      </c>
      <c r="BR24" s="118">
        <f>IF(AND(BR$5&gt;=$L24,BR$5&lt;=$N24),$K24,"")</f>
        <v/>
      </c>
      <c r="BS24" s="118">
        <f>IF(AND(BS$5&gt;=$L24,BS$5&lt;=$N24),$K24,"")</f>
        <v/>
      </c>
      <c r="BT24" s="118">
        <f>IF(AND(BT$5&gt;=$L24,BT$5&lt;=$N24),$K24,"")</f>
        <v/>
      </c>
      <c r="BU24" s="118">
        <f>IF(AND(BU$5&gt;=$L24,BU$5&lt;=$N24),$K24,"")</f>
        <v/>
      </c>
      <c r="BV24" s="118">
        <f>IF(AND(BV$5&gt;=$L24,BV$5&lt;=$N24),$K24,"")</f>
        <v/>
      </c>
      <c r="BW24" s="118">
        <f>IF(AND(BW$5&gt;=$L24,BW$5&lt;=$N24),$K24,"")</f>
        <v/>
      </c>
      <c r="BX24" s="118">
        <f>IF(AND(BX$5&gt;=$L24,BX$5&lt;=$N24),$K24,"")</f>
        <v/>
      </c>
      <c r="BY24" s="123">
        <f>IF(AND(BY$5&gt;=$L24,BY$5&lt;=$N24),$K24,"")</f>
        <v/>
      </c>
      <c r="BZ24" s="123">
        <f>IF(AND(BZ$5&gt;=$L24,BZ$5&lt;=$N24),$K24,"")</f>
        <v/>
      </c>
      <c r="CA24" s="128" t="n"/>
      <c r="CB24" s="128" t="n"/>
      <c r="CC24" s="128" t="n"/>
      <c r="CD24" s="128" t="n"/>
      <c r="CE24" s="128" t="n"/>
      <c r="CF24" s="128" t="n"/>
      <c r="CG24" s="128" t="n"/>
      <c r="CH24" s="128" t="n"/>
    </row>
    <row r="25" s="74">
      <c r="A25" s="119" t="n"/>
      <c r="B25" s="106" t="n">
        <v>19</v>
      </c>
      <c r="C25" s="108" t="inlineStr">
        <is>
          <t>Устройство песчаного слоя основания РВС№13.3, 13.4, 13.9</t>
        </is>
      </c>
      <c r="D25" s="119" t="n"/>
      <c r="E25" s="129" t="n"/>
      <c r="F25" s="130" t="n"/>
      <c r="G25" s="130" t="n"/>
      <c r="H25" s="130" t="n"/>
      <c r="I25" s="130" t="n"/>
      <c r="J25" s="130" t="n"/>
      <c r="K25" s="119" t="n"/>
      <c r="L25" s="131" t="n">
        <v>46296</v>
      </c>
      <c r="M25" s="106" t="n">
        <v>1</v>
      </c>
      <c r="N25" s="131">
        <f>L25+M25-1</f>
        <v/>
      </c>
      <c r="O25" s="115">
        <f>IF(AND(O$5&gt;=$L25,O$5&lt;=$N25),$K25,"")</f>
        <v/>
      </c>
      <c r="P25" s="115">
        <f>IF(AND(P$5&gt;=$L25,P$5&lt;=$N25),$K25,"")</f>
        <v/>
      </c>
      <c r="Q25" s="115">
        <f>IF(AND(Q$5&gt;=$L25,Q$5&lt;=$N25),$K25,"")</f>
        <v/>
      </c>
      <c r="R25" s="115">
        <f>IF(AND(R$5&gt;=$L25,R$5&lt;=$N25),$K25,"")</f>
        <v/>
      </c>
      <c r="S25" s="115">
        <f>IF(AND(S$5&gt;=$L25,S$5&lt;=$N25),$K25,"")</f>
        <v/>
      </c>
      <c r="T25" s="115">
        <f>IF(AND(T$5&gt;=$L25,T$5&lt;=$N25),$K25,"")</f>
        <v/>
      </c>
      <c r="U25" s="115">
        <f>IF(AND(U$5&gt;=$L25,U$5&lt;=$N25),$K25,"")</f>
        <v/>
      </c>
      <c r="V25" s="115">
        <f>IF(AND(V$5&gt;=$L25,V$5&lt;=$N25),$K25,"")</f>
        <v/>
      </c>
      <c r="W25" s="115">
        <f>IF(AND(W$5&gt;=$L25,W$5&lt;=$N25),$K25,"")</f>
        <v/>
      </c>
      <c r="X25" s="115">
        <f>IF(AND(X$5&gt;=$L25,X$5&lt;=$N25),$K25,"")</f>
        <v/>
      </c>
      <c r="Y25" s="115">
        <f>IF(AND(Y$5&gt;=$L25,Y$5&lt;=$N25),$K25,"")</f>
        <v/>
      </c>
      <c r="Z25" s="115">
        <f>IF(AND(Z$5&gt;=$L25,Z$5&lt;=$N25),$K25,"")</f>
        <v/>
      </c>
      <c r="AA25" s="115">
        <f>IF(AND(AA$5&gt;=$L25,AA$5&lt;=$N25),$K25,"")</f>
        <v/>
      </c>
      <c r="AB25" s="115">
        <f>IF(AND(AB$5&gt;=$L25,AB$5&lt;=$N25),$K25,"")</f>
        <v/>
      </c>
      <c r="AC25" s="115">
        <f>IF(AND(AC$5&gt;=$L25,AC$5&lt;=$N25),$K25,"")</f>
        <v/>
      </c>
      <c r="AD25" s="115">
        <f>IF(AND(AD$5&gt;=$L25,AD$5&lt;=$N25),$K25,"")</f>
        <v/>
      </c>
      <c r="AE25" s="115">
        <f>IF(AND(AE$5&gt;=$L25,AE$5&lt;=$N25),$K25,"")</f>
        <v/>
      </c>
      <c r="AF25" s="115">
        <f>IF(AND(AF$5&gt;=$L25,AF$5&lt;=$N25),$K25,"")</f>
        <v/>
      </c>
      <c r="AG25" s="115">
        <f>IF(AND(AG$5&gt;=$L25,AG$5&lt;=$N25),$K25,"")</f>
        <v/>
      </c>
      <c r="AH25" s="115">
        <f>IF(AND(AH$5&gt;=$L25,AH$5&lt;=$N25),$K25,"")</f>
        <v/>
      </c>
      <c r="AI25" s="115">
        <f>IF(AND(AI$5&gt;=$L25,AI$5&lt;=$N25),$K25,"")</f>
        <v/>
      </c>
      <c r="AJ25" s="115">
        <f>IF(AND(AJ$5&gt;=$L25,AJ$5&lt;=$N25),$K25,"")</f>
        <v/>
      </c>
      <c r="AK25" s="115">
        <f>IF(AND(AK$5&gt;=$L25,AK$5&lt;=$N25),$K25,"")</f>
        <v/>
      </c>
      <c r="AL25" s="115">
        <f>IF(AND(AL$5&gt;=$L25,AL$5&lt;=$N25),$K25,"")</f>
        <v/>
      </c>
      <c r="AM25" s="115">
        <f>IF(AND(AM$5&gt;=$L25,AM$5&lt;=$N25),$K25,"")</f>
        <v/>
      </c>
      <c r="AN25" s="115">
        <f>IF(AND(AN$5&gt;=$L25,AN$5&lt;=$N25),$K25,"")</f>
        <v/>
      </c>
      <c r="AO25" s="115">
        <f>IF(AND(AO$5&gt;=$L25,AO$5&lt;=$N25),$K25,"")</f>
        <v/>
      </c>
      <c r="AP25" s="115">
        <f>IF(AND(AP$5&gt;=$L25,AP$5&lt;=$N25),$K25,"")</f>
        <v/>
      </c>
      <c r="AQ25" s="115">
        <f>IF(AND(AQ$5&gt;=$L25,AQ$5&lt;=$N25),$K25,"")</f>
        <v/>
      </c>
      <c r="AR25" s="115">
        <f>IF(AND(AR$5&gt;=$L25,AR$5&lt;=$N25),$K25,"")</f>
        <v/>
      </c>
      <c r="AS25" s="115">
        <f>IF(AND(AS$5&gt;=$L25,AS$5&lt;=$N25),$K25,"")</f>
        <v/>
      </c>
      <c r="AT25" s="115">
        <f>IF(AND(AT$5&gt;=$L25,AT$5&lt;=$N25),$K25,"")</f>
        <v/>
      </c>
      <c r="AU25" s="115">
        <f>IF(AND(AU$5&gt;=$L25,AU$5&lt;=$N25),$K25,"")</f>
        <v/>
      </c>
      <c r="AV25" s="116">
        <f>IF(AND(AV$5&gt;=$L25,AV$5&lt;=$N25),$K25,"")</f>
        <v/>
      </c>
      <c r="AW25" s="116">
        <f>IF(AND(AW$5&gt;=$L25,AW$5&lt;=$N25),$K25,"")</f>
        <v/>
      </c>
      <c r="AX25" s="116">
        <f>IF(AND(AX$5&gt;=$L25,AX$5&lt;=$N25),$K25,"")</f>
        <v/>
      </c>
      <c r="AY25" s="117">
        <f>IF(AND(AY$5&gt;=$L25,AY$5&lt;=$N25),$K25,"")</f>
        <v/>
      </c>
      <c r="AZ25" s="117">
        <f>IF(AND(AZ$5&gt;=$L25,AZ$5&lt;=$N25),$K25,"")</f>
        <v/>
      </c>
      <c r="BA25" s="117">
        <f>IF(AND(BA$5&gt;=$L25,BA$5&lt;=$N25),$K25,"")</f>
        <v/>
      </c>
      <c r="BB25" s="117">
        <f>IF(AND(BB$5&gt;=$L25,BB$5&lt;=$N25),$K25,"")</f>
        <v/>
      </c>
      <c r="BC25" s="117">
        <f>IF(AND(BC$5&gt;=$L25,BC$5&lt;=$N25),$K25,"")</f>
        <v/>
      </c>
      <c r="BD25" s="117">
        <f>IF(AND(BD$5&gt;=$L25,BD$5&lt;=$N25),$K25,"")</f>
        <v/>
      </c>
      <c r="BE25" s="117">
        <f>IF(AND(BE$5&gt;=$L25,BE$5&lt;=$N25),$K25,"")</f>
        <v/>
      </c>
      <c r="BF25" s="117">
        <f>IF(AND(BF$5&gt;=$L25,BF$5&lt;=$N25),$K25,"")</f>
        <v/>
      </c>
      <c r="BG25" s="118">
        <f>IF(AND(BG$5&gt;=$L25,BG$5&lt;=$N25),$K25,"")</f>
        <v/>
      </c>
      <c r="BH25" s="118">
        <f>IF(AND(BH$5&gt;=$L25,BH$5&lt;=$N25),$K25,"")</f>
        <v/>
      </c>
      <c r="BI25" s="118">
        <f>IF(AND(BI$5&gt;=$L25,BI$5&lt;=$N25),$K25,"")</f>
        <v/>
      </c>
      <c r="BJ25" s="118">
        <f>IF(AND(BJ$5&gt;=$L25,BJ$5&lt;=$N25),$K25,"")</f>
        <v/>
      </c>
      <c r="BK25" s="118">
        <f>IF(AND(BK$5&gt;=$L25,BK$5&lt;=$N25),$K25,"")</f>
        <v/>
      </c>
      <c r="BL25" s="118">
        <f>IF(AND(BL$5&gt;=$L25,BL$5&lt;=$N25),$K25,"")</f>
        <v/>
      </c>
      <c r="BM25" s="118">
        <f>IF(AND(BM$5&gt;=$L25,BM$5&lt;=$N25),$K25,"")</f>
        <v/>
      </c>
      <c r="BN25" s="118">
        <f>IF(AND(BN$5&gt;=$L25,BN$5&lt;=$N25),$K25,"")</f>
        <v/>
      </c>
      <c r="BO25" s="118">
        <f>IF(AND(BO$5&gt;=$L25,BO$5&lt;=$N25),$K25,"")</f>
        <v/>
      </c>
      <c r="BP25" s="118">
        <f>IF(AND(BP$5&gt;=$L25,BP$5&lt;=$N25),$K25,"")</f>
        <v/>
      </c>
      <c r="BQ25" s="118">
        <f>IF(AND(BQ$5&gt;=$L25,BQ$5&lt;=$N25),$K25,"")</f>
        <v/>
      </c>
      <c r="BR25" s="118">
        <f>IF(AND(BR$5&gt;=$L25,BR$5&lt;=$N25),$K25,"")</f>
        <v/>
      </c>
      <c r="BS25" s="118">
        <f>IF(AND(BS$5&gt;=$L25,BS$5&lt;=$N25),$K25,"")</f>
        <v/>
      </c>
      <c r="BT25" s="118">
        <f>IF(AND(BT$5&gt;=$L25,BT$5&lt;=$N25),$K25,"")</f>
        <v/>
      </c>
      <c r="BU25" s="118">
        <f>IF(AND(BU$5&gt;=$L25,BU$5&lt;=$N25),$K25,"")</f>
        <v/>
      </c>
      <c r="BV25" s="118">
        <f>IF(AND(BV$5&gt;=$L25,BV$5&lt;=$N25),$K25,"")</f>
        <v/>
      </c>
      <c r="BW25" s="118">
        <f>IF(AND(BW$5&gt;=$L25,BW$5&lt;=$N25),$K25,"")</f>
        <v/>
      </c>
      <c r="BX25" s="118">
        <f>IF(AND(BX$5&gt;=$L25,BX$5&lt;=$N25),$K25,"")</f>
        <v/>
      </c>
      <c r="BY25" s="123">
        <f>IF(AND(BY$5&gt;=$L25,BY$5&lt;=$N25),$K25,"")</f>
        <v/>
      </c>
      <c r="BZ25" s="123">
        <f>IF(AND(BZ$5&gt;=$L25,BZ$5&lt;=$N25),$K25,"")</f>
        <v/>
      </c>
      <c r="CA25" s="128" t="n"/>
      <c r="CB25" s="128" t="n"/>
      <c r="CC25" s="128" t="n"/>
      <c r="CD25" s="128" t="n"/>
      <c r="CE25" s="128" t="n"/>
      <c r="CF25" s="128" t="n"/>
      <c r="CG25" s="128" t="n"/>
      <c r="CH25" s="128" t="n"/>
    </row>
    <row r="26" s="74">
      <c r="A26" s="119" t="n"/>
      <c r="B26" s="106" t="n">
        <v>20</v>
      </c>
      <c r="C26" s="108" t="inlineStr">
        <is>
          <t>Монтаж геомембраны и устройство защитного слоя  основания РВС№13.3, 13.4</t>
        </is>
      </c>
      <c r="D26" s="119" t="n"/>
      <c r="E26" s="129" t="n"/>
      <c r="F26" s="130" t="n"/>
      <c r="G26" s="130" t="n"/>
      <c r="H26" s="130" t="n"/>
      <c r="I26" s="130" t="n"/>
      <c r="J26" s="130" t="n"/>
      <c r="K26" s="119" t="n"/>
      <c r="L26" s="131" t="n">
        <v>46298</v>
      </c>
      <c r="M26" s="106" t="n">
        <v>3</v>
      </c>
      <c r="N26" s="131">
        <f>L26+M26-1</f>
        <v/>
      </c>
      <c r="O26" s="115">
        <f>IF(AND(O$5&gt;=$L26,O$5&lt;=$N26),$K26,"")</f>
        <v/>
      </c>
      <c r="P26" s="115">
        <f>IF(AND(P$5&gt;=$L26,P$5&lt;=$N26),$K26,"")</f>
        <v/>
      </c>
      <c r="Q26" s="115">
        <f>IF(AND(Q$5&gt;=$L26,Q$5&lt;=$N26),$K26,"")</f>
        <v/>
      </c>
      <c r="R26" s="115">
        <f>IF(AND(R$5&gt;=$L26,R$5&lt;=$N26),$K26,"")</f>
        <v/>
      </c>
      <c r="S26" s="115">
        <f>IF(AND(S$5&gt;=$L26,S$5&lt;=$N26),$K26,"")</f>
        <v/>
      </c>
      <c r="T26" s="115">
        <f>IF(AND(T$5&gt;=$L26,T$5&lt;=$N26),$K26,"")</f>
        <v/>
      </c>
      <c r="U26" s="115">
        <f>IF(AND(U$5&gt;=$L26,U$5&lt;=$N26),$K26,"")</f>
        <v/>
      </c>
      <c r="V26" s="115">
        <f>IF(AND(V$5&gt;=$L26,V$5&lt;=$N26),$K26,"")</f>
        <v/>
      </c>
      <c r="W26" s="115">
        <f>IF(AND(W$5&gt;=$L26,W$5&lt;=$N26),$K26,"")</f>
        <v/>
      </c>
      <c r="X26" s="115">
        <f>IF(AND(X$5&gt;=$L26,X$5&lt;=$N26),$K26,"")</f>
        <v/>
      </c>
      <c r="Y26" s="115">
        <f>IF(AND(Y$5&gt;=$L26,Y$5&lt;=$N26),$K26,"")</f>
        <v/>
      </c>
      <c r="Z26" s="115">
        <f>IF(AND(Z$5&gt;=$L26,Z$5&lt;=$N26),$K26,"")</f>
        <v/>
      </c>
      <c r="AA26" s="115">
        <f>IF(AND(AA$5&gt;=$L26,AA$5&lt;=$N26),$K26,"")</f>
        <v/>
      </c>
      <c r="AB26" s="115">
        <f>IF(AND(AB$5&gt;=$L26,AB$5&lt;=$N26),$K26,"")</f>
        <v/>
      </c>
      <c r="AC26" s="115">
        <f>IF(AND(AC$5&gt;=$L26,AC$5&lt;=$N26),$K26,"")</f>
        <v/>
      </c>
      <c r="AD26" s="115">
        <f>IF(AND(AD$5&gt;=$L26,AD$5&lt;=$N26),$K26,"")</f>
        <v/>
      </c>
      <c r="AE26" s="115">
        <f>IF(AND(AE$5&gt;=$L26,AE$5&lt;=$N26),$K26,"")</f>
        <v/>
      </c>
      <c r="AF26" s="115">
        <f>IF(AND(AF$5&gt;=$L26,AF$5&lt;=$N26),$K26,"")</f>
        <v/>
      </c>
      <c r="AG26" s="115">
        <f>IF(AND(AG$5&gt;=$L26,AG$5&lt;=$N26),$K26,"")</f>
        <v/>
      </c>
      <c r="AH26" s="115">
        <f>IF(AND(AH$5&gt;=$L26,AH$5&lt;=$N26),$K26,"")</f>
        <v/>
      </c>
      <c r="AI26" s="115">
        <f>IF(AND(AI$5&gt;=$L26,AI$5&lt;=$N26),$K26,"")</f>
        <v/>
      </c>
      <c r="AJ26" s="115">
        <f>IF(AND(AJ$5&gt;=$L26,AJ$5&lt;=$N26),$K26,"")</f>
        <v/>
      </c>
      <c r="AK26" s="115">
        <f>IF(AND(AK$5&gt;=$L26,AK$5&lt;=$N26),$K26,"")</f>
        <v/>
      </c>
      <c r="AL26" s="115">
        <f>IF(AND(AL$5&gt;=$L26,AL$5&lt;=$N26),$K26,"")</f>
        <v/>
      </c>
      <c r="AM26" s="115">
        <f>IF(AND(AM$5&gt;=$L26,AM$5&lt;=$N26),$K26,"")</f>
        <v/>
      </c>
      <c r="AN26" s="115">
        <f>IF(AND(AN$5&gt;=$L26,AN$5&lt;=$N26),$K26,"")</f>
        <v/>
      </c>
      <c r="AO26" s="115">
        <f>IF(AND(AO$5&gt;=$L26,AO$5&lt;=$N26),$K26,"")</f>
        <v/>
      </c>
      <c r="AP26" s="115">
        <f>IF(AND(AP$5&gt;=$L26,AP$5&lt;=$N26),$K26,"")</f>
        <v/>
      </c>
      <c r="AQ26" s="115">
        <f>IF(AND(AQ$5&gt;=$L26,AQ$5&lt;=$N26),$K26,"")</f>
        <v/>
      </c>
      <c r="AR26" s="115">
        <f>IF(AND(AR$5&gt;=$L26,AR$5&lt;=$N26),$K26,"")</f>
        <v/>
      </c>
      <c r="AS26" s="115">
        <f>IF(AND(AS$5&gt;=$L26,AS$5&lt;=$N26),$K26,"")</f>
        <v/>
      </c>
      <c r="AT26" s="115">
        <f>IF(AND(AT$5&gt;=$L26,AT$5&lt;=$N26),$K26,"")</f>
        <v/>
      </c>
      <c r="AU26" s="115">
        <f>IF(AND(AU$5&gt;=$L26,AU$5&lt;=$N26),$K26,"")</f>
        <v/>
      </c>
      <c r="AV26" s="116">
        <f>IF(AND(AV$5&gt;=$L26,AV$5&lt;=$N26),$K26,"")</f>
        <v/>
      </c>
      <c r="AW26" s="116">
        <f>IF(AND(AW$5&gt;=$L26,AW$5&lt;=$N26),$K26,"")</f>
        <v/>
      </c>
      <c r="AX26" s="116">
        <f>IF(AND(AX$5&gt;=$L26,AX$5&lt;=$N26),$K26,"")</f>
        <v/>
      </c>
      <c r="AY26" s="117">
        <f>IF(AND(AY$5&gt;=$L26,AY$5&lt;=$N26),$K26,"")</f>
        <v/>
      </c>
      <c r="AZ26" s="117">
        <f>IF(AND(AZ$5&gt;=$L26,AZ$5&lt;=$N26),$K26,"")</f>
        <v/>
      </c>
      <c r="BA26" s="117">
        <f>IF(AND(BA$5&gt;=$L26,BA$5&lt;=$N26),$K26,"")</f>
        <v/>
      </c>
      <c r="BB26" s="117">
        <f>IF(AND(BB$5&gt;=$L26,BB$5&lt;=$N26),$K26,"")</f>
        <v/>
      </c>
      <c r="BC26" s="117">
        <f>IF(AND(BC$5&gt;=$L26,BC$5&lt;=$N26),$K26,"")</f>
        <v/>
      </c>
      <c r="BD26" s="117">
        <f>IF(AND(BD$5&gt;=$L26,BD$5&lt;=$N26),$K26,"")</f>
        <v/>
      </c>
      <c r="BE26" s="117">
        <f>IF(AND(BE$5&gt;=$L26,BE$5&lt;=$N26),$K26,"")</f>
        <v/>
      </c>
      <c r="BF26" s="117">
        <f>IF(AND(BF$5&gt;=$L26,BF$5&lt;=$N26),$K26,"")</f>
        <v/>
      </c>
      <c r="BG26" s="118">
        <f>IF(AND(BG$5&gt;=$L26,BG$5&lt;=$N26),$K26,"")</f>
        <v/>
      </c>
      <c r="BH26" s="118">
        <f>IF(AND(BH$5&gt;=$L26,BH$5&lt;=$N26),$K26,"")</f>
        <v/>
      </c>
      <c r="BI26" s="118">
        <f>IF(AND(BI$5&gt;=$L26,BI$5&lt;=$N26),$K26,"")</f>
        <v/>
      </c>
      <c r="BJ26" s="118">
        <f>IF(AND(BJ$5&gt;=$L26,BJ$5&lt;=$N26),$K26,"")</f>
        <v/>
      </c>
      <c r="BK26" s="118">
        <f>IF(AND(BK$5&gt;=$L26,BK$5&lt;=$N26),$K26,"")</f>
        <v/>
      </c>
      <c r="BL26" s="118">
        <f>IF(AND(BL$5&gt;=$L26,BL$5&lt;=$N26),$K26,"")</f>
        <v/>
      </c>
      <c r="BM26" s="118">
        <f>IF(AND(BM$5&gt;=$L26,BM$5&lt;=$N26),$K26,"")</f>
        <v/>
      </c>
      <c r="BN26" s="118">
        <f>IF(AND(BN$5&gt;=$L26,BN$5&lt;=$N26),$K26,"")</f>
        <v/>
      </c>
      <c r="BO26" s="118">
        <f>IF(AND(BO$5&gt;=$L26,BO$5&lt;=$N26),$K26,"")</f>
        <v/>
      </c>
      <c r="BP26" s="118">
        <f>IF(AND(BP$5&gt;=$L26,BP$5&lt;=$N26),$K26,"")</f>
        <v/>
      </c>
      <c r="BQ26" s="118">
        <f>IF(AND(BQ$5&gt;=$L26,BQ$5&lt;=$N26),$K26,"")</f>
        <v/>
      </c>
      <c r="BR26" s="118">
        <f>IF(AND(BR$5&gt;=$L26,BR$5&lt;=$N26),$K26,"")</f>
        <v/>
      </c>
      <c r="BS26" s="118">
        <f>IF(AND(BS$5&gt;=$L26,BS$5&lt;=$N26),$K26,"")</f>
        <v/>
      </c>
      <c r="BT26" s="118">
        <f>IF(AND(BT$5&gt;=$L26,BT$5&lt;=$N26),$K26,"")</f>
        <v/>
      </c>
      <c r="BU26" s="118">
        <f>IF(AND(BU$5&gt;=$L26,BU$5&lt;=$N26),$K26,"")</f>
        <v/>
      </c>
      <c r="BV26" s="118">
        <f>IF(AND(BV$5&gt;=$L26,BV$5&lt;=$N26),$K26,"")</f>
        <v/>
      </c>
      <c r="BW26" s="118">
        <f>IF(AND(BW$5&gt;=$L26,BW$5&lt;=$N26),$K26,"")</f>
        <v/>
      </c>
      <c r="BX26" s="118">
        <f>IF(AND(BX$5&gt;=$L26,BX$5&lt;=$N26),$K26,"")</f>
        <v/>
      </c>
      <c r="BY26" s="123">
        <f>IF(AND(BY$5&gt;=$L26,BY$5&lt;=$N26),$K26,"")</f>
        <v/>
      </c>
      <c r="BZ26" s="123">
        <f>IF(AND(BZ$5&gt;=$L26,BZ$5&lt;=$N26),$K26,"")</f>
        <v/>
      </c>
      <c r="CA26" s="128" t="n"/>
      <c r="CB26" s="128" t="n"/>
      <c r="CC26" s="128" t="n"/>
      <c r="CD26" s="128" t="n"/>
      <c r="CE26" s="128" t="n"/>
      <c r="CF26" s="128" t="n"/>
      <c r="CG26" s="128" t="n"/>
      <c r="CH26" s="128" t="n"/>
    </row>
    <row r="27" s="74">
      <c r="B27" s="106" t="n">
        <v>21</v>
      </c>
      <c r="C27" s="126" t="inlineStr">
        <is>
          <t>Устройство гидрофобного слоя из асфальтобетона РВС №13.1, 13.2</t>
        </is>
      </c>
      <c r="D27" s="119" t="n"/>
      <c r="E27" s="129" t="n"/>
      <c r="F27" s="130" t="n"/>
      <c r="G27" s="130" t="n"/>
      <c r="H27" s="130" t="n"/>
      <c r="I27" s="130" t="n"/>
      <c r="J27" s="130" t="n"/>
      <c r="K27" s="119" t="n"/>
      <c r="L27" s="131" t="n">
        <v>46302</v>
      </c>
      <c r="M27" s="122" t="n">
        <v>2</v>
      </c>
      <c r="N27" s="131">
        <f>L27+M27-1</f>
        <v/>
      </c>
      <c r="O27" s="115">
        <f>IF(AND(O$5&gt;=$L27,O$5&lt;=$N27),$K27,"")</f>
        <v/>
      </c>
      <c r="P27" s="115">
        <f>IF(AND(P$5&gt;=$L27,P$5&lt;=$N27),$K27,"")</f>
        <v/>
      </c>
      <c r="Q27" s="115">
        <f>IF(AND(Q$5&gt;=$L27,Q$5&lt;=$N27),$K27,"")</f>
        <v/>
      </c>
      <c r="R27" s="115">
        <f>IF(AND(R$5&gt;=$L27,R$5&lt;=$N27),$K27,"")</f>
        <v/>
      </c>
      <c r="S27" s="115">
        <f>IF(AND(S$5&gt;=$L27,S$5&lt;=$N27),$K27,"")</f>
        <v/>
      </c>
      <c r="T27" s="115">
        <f>IF(AND(T$5&gt;=$L27,T$5&lt;=$N27),$K27,"")</f>
        <v/>
      </c>
      <c r="U27" s="115">
        <f>IF(AND(U$5&gt;=$L27,U$5&lt;=$N27),$K27,"")</f>
        <v/>
      </c>
      <c r="V27" s="115">
        <f>IF(AND(V$5&gt;=$L27,V$5&lt;=$N27),$K27,"")</f>
        <v/>
      </c>
      <c r="W27" s="115">
        <f>IF(AND(W$5&gt;=$L27,W$5&lt;=$N27),$K27,"")</f>
        <v/>
      </c>
      <c r="X27" s="115">
        <f>IF(AND(X$5&gt;=$L27,X$5&lt;=$N27),$K27,"")</f>
        <v/>
      </c>
      <c r="Y27" s="115">
        <f>IF(AND(Y$5&gt;=$L27,Y$5&lt;=$N27),$K27,"")</f>
        <v/>
      </c>
      <c r="Z27" s="115">
        <f>IF(AND(Z$5&gt;=$L27,Z$5&lt;=$N27),$K27,"")</f>
        <v/>
      </c>
      <c r="AA27" s="115">
        <f>IF(AND(AA$5&gt;=$L27,AA$5&lt;=$N27),$K27,"")</f>
        <v/>
      </c>
      <c r="AB27" s="115">
        <f>IF(AND(AB$5&gt;=$L27,AB$5&lt;=$N27),$K27,"")</f>
        <v/>
      </c>
      <c r="AC27" s="115">
        <f>IF(AND(AC$5&gt;=$L27,AC$5&lt;=$N27),$K27,"")</f>
        <v/>
      </c>
      <c r="AD27" s="115">
        <f>IF(AND(AD$5&gt;=$L27,AD$5&lt;=$N27),$K27,"")</f>
        <v/>
      </c>
      <c r="AE27" s="115">
        <f>IF(AND(AE$5&gt;=$L27,AE$5&lt;=$N27),$K27,"")</f>
        <v/>
      </c>
      <c r="AF27" s="115">
        <f>IF(AND(AF$5&gt;=$L27,AF$5&lt;=$N27),$K27,"")</f>
        <v/>
      </c>
      <c r="AG27" s="115">
        <f>IF(AND(AG$5&gt;=$L27,AG$5&lt;=$N27),$K27,"")</f>
        <v/>
      </c>
      <c r="AH27" s="115">
        <f>IF(AND(AH$5&gt;=$L27,AH$5&lt;=$N27),$K27,"")</f>
        <v/>
      </c>
      <c r="AI27" s="115">
        <f>IF(AND(AI$5&gt;=$L27,AI$5&lt;=$N27),$K27,"")</f>
        <v/>
      </c>
      <c r="AJ27" s="115">
        <f>IF(AND(AJ$5&gt;=$L27,AJ$5&lt;=$N27),$K27,"")</f>
        <v/>
      </c>
      <c r="AK27" s="115">
        <f>IF(AND(AK$5&gt;=$L27,AK$5&lt;=$N27),$K27,"")</f>
        <v/>
      </c>
      <c r="AL27" s="115">
        <f>IF(AND(AL$5&gt;=$L27,AL$5&lt;=$N27),$K27,"")</f>
        <v/>
      </c>
      <c r="AM27" s="115">
        <f>IF(AND(AM$5&gt;=$L27,AM$5&lt;=$N27),$K27,"")</f>
        <v/>
      </c>
      <c r="AN27" s="115">
        <f>IF(AND(AN$5&gt;=$L27,AN$5&lt;=$N27),$K27,"")</f>
        <v/>
      </c>
      <c r="AO27" s="115">
        <f>IF(AND(AO$5&gt;=$L27,AO$5&lt;=$N27),$K27,"")</f>
        <v/>
      </c>
      <c r="AP27" s="115">
        <f>IF(AND(AP$5&gt;=$L27,AP$5&lt;=$N27),$K27,"")</f>
        <v/>
      </c>
      <c r="AQ27" s="115">
        <f>IF(AND(AQ$5&gt;=$L27,AQ$5&lt;=$N27),$K27,"")</f>
        <v/>
      </c>
      <c r="AR27" s="115">
        <f>IF(AND(AR$5&gt;=$L27,AR$5&lt;=$N27),$K27,"")</f>
        <v/>
      </c>
      <c r="AS27" s="115">
        <f>IF(AND(AS$5&gt;=$L27,AS$5&lt;=$N27),$K27,"")</f>
        <v/>
      </c>
      <c r="AT27" s="115">
        <f>IF(AND(AT$5&gt;=$L27,AT$5&lt;=$N27),$K27,"")</f>
        <v/>
      </c>
      <c r="AU27" s="115">
        <f>IF(AND(AU$5&gt;=$L27,AU$5&lt;=$N27),$K27,"")</f>
        <v/>
      </c>
      <c r="AV27" s="116">
        <f>IF(AND(AV$5&gt;=$L27,AV$5&lt;=$N27),$K27,"")</f>
        <v/>
      </c>
      <c r="AW27" s="116">
        <f>IF(AND(AW$5&gt;=$L27,AW$5&lt;=$N27),$K27,"")</f>
        <v/>
      </c>
      <c r="AX27" s="116">
        <f>IF(AND(AX$5&gt;=$L27,AX$5&lt;=$N27),$K27,"")</f>
        <v/>
      </c>
      <c r="AY27" s="117">
        <f>IF(AND(AY$5&gt;=$L27,AY$5&lt;=$N27),$K27,"")</f>
        <v/>
      </c>
      <c r="AZ27" s="117">
        <f>IF(AND(AZ$5&gt;=$L27,AZ$5&lt;=$N27),$K27,"")</f>
        <v/>
      </c>
      <c r="BA27" s="117">
        <f>IF(AND(BA$5&gt;=$L27,BA$5&lt;=$N27),$K27,"")</f>
        <v/>
      </c>
      <c r="BB27" s="117">
        <f>IF(AND(BB$5&gt;=$L27,BB$5&lt;=$N27),$K27,"")</f>
        <v/>
      </c>
      <c r="BC27" s="117">
        <f>IF(AND(BC$5&gt;=$L27,BC$5&lt;=$N27),$K27,"")</f>
        <v/>
      </c>
      <c r="BD27" s="117">
        <f>IF(AND(BD$5&gt;=$L27,BD$5&lt;=$N27),$K27,"")</f>
        <v/>
      </c>
      <c r="BE27" s="117">
        <f>IF(AND(BE$5&gt;=$L27,BE$5&lt;=$N27),$K27,"")</f>
        <v/>
      </c>
      <c r="BF27" s="117">
        <f>IF(AND(BF$5&gt;=$L27,BF$5&lt;=$N27),$K27,"")</f>
        <v/>
      </c>
      <c r="BG27" s="118">
        <f>IF(AND(BG$5&gt;=$L27,BG$5&lt;=$N27),$K27,"")</f>
        <v/>
      </c>
      <c r="BH27" s="132">
        <f>IF(AND(BH$5&gt;=$L27,BH$5&lt;=$N27),$K27,"")</f>
        <v/>
      </c>
      <c r="BI27" s="132">
        <f>IF(AND(BI$5&gt;=$L27,BI$5&lt;=$N27),$K27,"")</f>
        <v/>
      </c>
      <c r="BJ27" s="132">
        <f>IF(AND(BJ$5&gt;=$L27,BJ$5&lt;=$N27),$K27,"")</f>
        <v/>
      </c>
      <c r="BK27" s="132">
        <f>IF(AND(BK$5&gt;=$L27,BK$5&lt;=$N27),$K27,"")</f>
        <v/>
      </c>
      <c r="BL27" s="132">
        <f>IF(AND(BL$5&gt;=$L27,BL$5&lt;=$N27),$K27,"")</f>
        <v/>
      </c>
      <c r="BM27" s="132">
        <f>IF(AND(BM$5&gt;=$L27,BM$5&lt;=$N27),$K27,"")</f>
        <v/>
      </c>
      <c r="BN27" s="132">
        <f>IF(AND(BN$5&gt;=$L27,BN$5&lt;=$N27),$K27,"")</f>
        <v/>
      </c>
      <c r="BO27" s="132">
        <f>IF(AND(BO$5&gt;=$L27,BO$5&lt;=$N27),$K27,"")</f>
        <v/>
      </c>
      <c r="BP27" s="132">
        <f>IF(AND(BP$5&gt;=$L27,BP$5&lt;=$N27),$K27,"")</f>
        <v/>
      </c>
      <c r="BQ27" s="132">
        <f>IF(AND(BQ$5&gt;=$L27,BQ$5&lt;=$N27),$K27,"")</f>
        <v/>
      </c>
      <c r="BR27" s="132">
        <f>IF(AND(BR$5&gt;=$L27,BR$5&lt;=$N27),$K27,"")</f>
        <v/>
      </c>
      <c r="BS27" s="132">
        <f>IF(AND(BS$5&gt;=$L27,BS$5&lt;=$N27),$K27,"")</f>
        <v/>
      </c>
      <c r="BT27" s="132">
        <f>IF(AND(BT$5&gt;=$L27,BT$5&lt;=$N27),$K27,"")</f>
        <v/>
      </c>
      <c r="BU27" s="132">
        <f>IF(AND(BU$5&gt;=$L27,BU$5&lt;=$N27),$K27,"")</f>
        <v/>
      </c>
      <c r="BV27" s="132">
        <f>IF(AND(BV$5&gt;=$L27,BV$5&lt;=$N27),$K27,"")</f>
        <v/>
      </c>
      <c r="BW27" s="132">
        <f>IF(AND(BW$5&gt;=$L27,BW$5&lt;=$N27),$K27,"")</f>
        <v/>
      </c>
      <c r="BX27" s="132">
        <f>IF(AND(BX$5&gt;=$L27,BX$5&lt;=$N27),$K27,"")</f>
        <v/>
      </c>
      <c r="BY27" s="132">
        <f>IF(AND(BY$5&gt;=$L27,BY$5&lt;=$N27),$K27,"")</f>
        <v/>
      </c>
      <c r="BZ27" s="132">
        <f>IF(AND(BZ$5&gt;=$L27,BZ$5&lt;=$N27),$K27,"")</f>
        <v/>
      </c>
    </row>
    <row r="28" s="74">
      <c r="A28" s="119" t="n"/>
      <c r="B28" s="106" t="n">
        <v>22</v>
      </c>
      <c r="C28" s="108" t="inlineStr">
        <is>
          <t>Устройство бетонной подготовки фундаментов КФ  РВС№13.1, 13,2</t>
        </is>
      </c>
      <c r="D28" s="119" t="n"/>
      <c r="E28" s="129" t="n"/>
      <c r="F28" s="130" t="n"/>
      <c r="G28" s="130" t="n"/>
      <c r="H28" s="130" t="n"/>
      <c r="I28" s="130" t="n"/>
      <c r="J28" s="130" t="n"/>
      <c r="K28" s="119" t="n"/>
      <c r="L28" s="131" t="n">
        <v>46286</v>
      </c>
      <c r="M28" s="106" t="n">
        <v>2</v>
      </c>
      <c r="N28" s="131">
        <f>L28+M28-1</f>
        <v/>
      </c>
      <c r="O28" s="115">
        <f>IF(AND(O$5&gt;=$L28,O$5&lt;=$N28),$K28,"")</f>
        <v/>
      </c>
      <c r="P28" s="115">
        <f>IF(AND(P$5&gt;=$L28,P$5&lt;=$N28),$K28,"")</f>
        <v/>
      </c>
      <c r="Q28" s="115">
        <f>IF(AND(Q$5&gt;=$L28,Q$5&lt;=$N28),$K28,"")</f>
        <v/>
      </c>
      <c r="R28" s="115">
        <f>IF(AND(R$5&gt;=$L28,R$5&lt;=$N28),$K28,"")</f>
        <v/>
      </c>
      <c r="S28" s="115">
        <f>IF(AND(S$5&gt;=$L28,S$5&lt;=$N28),$K28,"")</f>
        <v/>
      </c>
      <c r="T28" s="115">
        <f>IF(AND(T$5&gt;=$L28,T$5&lt;=$N28),$K28,"")</f>
        <v/>
      </c>
      <c r="U28" s="115">
        <f>IF(AND(U$5&gt;=$L28,U$5&lt;=$N28),$K28,"")</f>
        <v/>
      </c>
      <c r="V28" s="115">
        <f>IF(AND(V$5&gt;=$L28,V$5&lt;=$N28),$K28,"")</f>
        <v/>
      </c>
      <c r="W28" s="115">
        <f>IF(AND(W$5&gt;=$L28,W$5&lt;=$N28),$K28,"")</f>
        <v/>
      </c>
      <c r="X28" s="115">
        <f>IF(AND(X$5&gt;=$L28,X$5&lt;=$N28),$K28,"")</f>
        <v/>
      </c>
      <c r="Y28" s="115">
        <f>IF(AND(Y$5&gt;=$L28,Y$5&lt;=$N28),$K28,"")</f>
        <v/>
      </c>
      <c r="Z28" s="115">
        <f>IF(AND(Z$5&gt;=$L28,Z$5&lt;=$N28),$K28,"")</f>
        <v/>
      </c>
      <c r="AA28" s="115">
        <f>IF(AND(AA$5&gt;=$L28,AA$5&lt;=$N28),$K28,"")</f>
        <v/>
      </c>
      <c r="AB28" s="115">
        <f>IF(AND(AB$5&gt;=$L28,AB$5&lt;=$N28),$K28,"")</f>
        <v/>
      </c>
      <c r="AC28" s="115">
        <f>IF(AND(AC$5&gt;=$L28,AC$5&lt;=$N28),$K28,"")</f>
        <v/>
      </c>
      <c r="AD28" s="115">
        <f>IF(AND(AD$5&gt;=$L28,AD$5&lt;=$N28),$K28,"")</f>
        <v/>
      </c>
      <c r="AE28" s="115">
        <f>IF(AND(AE$5&gt;=$L28,AE$5&lt;=$N28),$K28,"")</f>
        <v/>
      </c>
      <c r="AF28" s="115">
        <f>IF(AND(AF$5&gt;=$L28,AF$5&lt;=$N28),$K28,"")</f>
        <v/>
      </c>
      <c r="AG28" s="115">
        <f>IF(AND(AG$5&gt;=$L28,AG$5&lt;=$N28),$K28,"")</f>
        <v/>
      </c>
      <c r="AH28" s="115">
        <f>IF(AND(AH$5&gt;=$L28,AH$5&lt;=$N28),$K28,"")</f>
        <v/>
      </c>
      <c r="AI28" s="115">
        <f>IF(AND(AI$5&gt;=$L28,AI$5&lt;=$N28),$K28,"")</f>
        <v/>
      </c>
      <c r="AJ28" s="115">
        <f>IF(AND(AJ$5&gt;=$L28,AJ$5&lt;=$N28),$K28,"")</f>
        <v/>
      </c>
      <c r="AK28" s="115">
        <f>IF(AND(AK$5&gt;=$L28,AK$5&lt;=$N28),$K28,"")</f>
        <v/>
      </c>
      <c r="AL28" s="115">
        <f>IF(AND(AL$5&gt;=$L28,AL$5&lt;=$N28),$K28,"")</f>
        <v/>
      </c>
      <c r="AM28" s="115">
        <f>IF(AND(AM$5&gt;=$L28,AM$5&lt;=$N28),$K28,"")</f>
        <v/>
      </c>
      <c r="AN28" s="115">
        <f>IF(AND(AN$5&gt;=$L28,AN$5&lt;=$N28),$K28,"")</f>
        <v/>
      </c>
      <c r="AO28" s="115">
        <f>IF(AND(AO$5&gt;=$L28,AO$5&lt;=$N28),$K28,"")</f>
        <v/>
      </c>
      <c r="AP28" s="115">
        <f>IF(AND(AP$5&gt;=$L28,AP$5&lt;=$N28),$K28,"")</f>
        <v/>
      </c>
      <c r="AQ28" s="115">
        <f>IF(AND(AQ$5&gt;=$L28,AQ$5&lt;=$N28),$K28,"")</f>
        <v/>
      </c>
      <c r="AR28" s="115">
        <f>IF(AND(AR$5&gt;=$L28,AR$5&lt;=$N28),$K28,"")</f>
        <v/>
      </c>
      <c r="AS28" s="115">
        <f>IF(AND(AS$5&gt;=$L28,AS$5&lt;=$N28),$K28,"")</f>
        <v/>
      </c>
      <c r="AT28" s="115">
        <f>IF(AND(AT$5&gt;=$L28,AT$5&lt;=$N28),$K28,"")</f>
        <v/>
      </c>
      <c r="AU28" s="115">
        <f>IF(AND(AU$5&gt;=$L28,AU$5&lt;=$N28),$K28,"")</f>
        <v/>
      </c>
      <c r="AV28" s="116">
        <f>IF(AND(AV$5&gt;=$L28,AV$5&lt;=$N28),$K28,"")</f>
        <v/>
      </c>
      <c r="AW28" s="116">
        <f>IF(AND(AW$5&gt;=$L28,AW$5&lt;=$N28),$K28,"")</f>
        <v/>
      </c>
      <c r="AX28" s="116">
        <f>IF(AND(AX$5&gt;=$L28,AX$5&lt;=$N28),$K28,"")</f>
        <v/>
      </c>
      <c r="AY28" s="117">
        <f>IF(AND(AY$5&gt;=$L28,AY$5&lt;=$N28),$K28,"")</f>
        <v/>
      </c>
      <c r="AZ28" s="117">
        <f>IF(AND(AZ$5&gt;=$L28,AZ$5&lt;=$N28),$K28,"")</f>
        <v/>
      </c>
      <c r="BA28" s="117">
        <f>IF(AND(BA$5&gt;=$L28,BA$5&lt;=$N28),$K28,"")</f>
        <v/>
      </c>
      <c r="BB28" s="117">
        <f>IF(AND(BB$5&gt;=$L28,BB$5&lt;=$N28),$K28,"")</f>
        <v/>
      </c>
      <c r="BC28" s="117">
        <f>IF(AND(BC$5&gt;=$L28,BC$5&lt;=$N28),$K28,"")</f>
        <v/>
      </c>
      <c r="BD28" s="117">
        <f>IF(AND(BD$5&gt;=$L28,BD$5&lt;=$N28),$K28,"")</f>
        <v/>
      </c>
      <c r="BE28" s="117">
        <f>IF(AND(BE$5&gt;=$L28,BE$5&lt;=$N28),$K28,"")</f>
        <v/>
      </c>
      <c r="BF28" s="117">
        <f>IF(AND(BF$5&gt;=$L28,BF$5&lt;=$N28),$K28,"")</f>
        <v/>
      </c>
      <c r="BG28" s="118">
        <f>IF(AND(BG$5&gt;=$L28,BG$5&lt;=$N28),$K28,"")</f>
        <v/>
      </c>
      <c r="BH28" s="118">
        <f>IF(AND(BH$5&gt;=$L28,BH$5&lt;=$N28),$K28,"")</f>
        <v/>
      </c>
      <c r="BI28" s="118">
        <f>IF(AND(BI$5&gt;=$L28,BI$5&lt;=$N28),$K28,"")</f>
        <v/>
      </c>
      <c r="BJ28" s="118">
        <f>IF(AND(BJ$5&gt;=$L28,BJ$5&lt;=$N28),$K28,"")</f>
        <v/>
      </c>
      <c r="BK28" s="118">
        <f>IF(AND(BK$5&gt;=$L28,BK$5&lt;=$N28),$K28,"")</f>
        <v/>
      </c>
      <c r="BL28" s="118">
        <f>IF(AND(BL$5&gt;=$L28,BL$5&lt;=$N28),$K28,"")</f>
        <v/>
      </c>
      <c r="BM28" s="118">
        <f>IF(AND(BM$5&gt;=$L28,BM$5&lt;=$N28),$K28,"")</f>
        <v/>
      </c>
      <c r="BN28" s="118">
        <f>IF(AND(BN$5&gt;=$L28,BN$5&lt;=$N28),$K28,"")</f>
        <v/>
      </c>
      <c r="BO28" s="118">
        <f>IF(AND(BO$5&gt;=$L28,BO$5&lt;=$N28),$K28,"")</f>
        <v/>
      </c>
      <c r="BP28" s="118">
        <f>IF(AND(BP$5&gt;=$L28,BP$5&lt;=$N28),$K28,"")</f>
        <v/>
      </c>
      <c r="BQ28" s="118">
        <f>IF(AND(BQ$5&gt;=$L28,BQ$5&lt;=$N28),$K28,"")</f>
        <v/>
      </c>
      <c r="BR28" s="118">
        <f>IF(AND(BR$5&gt;=$L28,BR$5&lt;=$N28),$K28,"")</f>
        <v/>
      </c>
      <c r="BS28" s="118">
        <f>IF(AND(BS$5&gt;=$L28,BS$5&lt;=$N28),$K28,"")</f>
        <v/>
      </c>
      <c r="BT28" s="118">
        <f>IF(AND(BT$5&gt;=$L28,BT$5&lt;=$N28),$K28,"")</f>
        <v/>
      </c>
      <c r="BU28" s="118">
        <f>IF(AND(BU$5&gt;=$L28,BU$5&lt;=$N28),$K28,"")</f>
        <v/>
      </c>
      <c r="BV28" s="118">
        <f>IF(AND(BV$5&gt;=$L28,BV$5&lt;=$N28),$K28,"")</f>
        <v/>
      </c>
      <c r="BW28" s="118">
        <f>IF(AND(BW$5&gt;=$L28,BW$5&lt;=$N28),$K28,"")</f>
        <v/>
      </c>
      <c r="BX28" s="118">
        <f>IF(AND(BX$5&gt;=$L28,BX$5&lt;=$N28),$K28,"")</f>
        <v/>
      </c>
      <c r="BY28" s="123">
        <f>IF(AND(BY$5&gt;=$L28,BY$5&lt;=$N28),$K28,"")</f>
        <v/>
      </c>
      <c r="BZ28" s="123">
        <f>IF(AND(BZ$5&gt;=$L28,BZ$5&lt;=$N28),$K28,"")</f>
        <v/>
      </c>
      <c r="CA28" s="128" t="n"/>
      <c r="CB28" s="128" t="n"/>
      <c r="CC28" s="128" t="n"/>
      <c r="CD28" s="128" t="n"/>
      <c r="CE28" s="128" t="n"/>
      <c r="CF28" s="128" t="n"/>
      <c r="CG28" s="128" t="n"/>
      <c r="CH28" s="128" t="n"/>
    </row>
    <row r="29" s="74">
      <c r="A29" s="119" t="n"/>
      <c r="B29" s="106" t="n">
        <v>23</v>
      </c>
      <c r="C29" s="108" t="inlineStr">
        <is>
          <t>Армирование фундаментов РВС№13.1, 13.2</t>
        </is>
      </c>
      <c r="D29" s="119" t="n"/>
      <c r="E29" s="129" t="n"/>
      <c r="F29" s="130" t="n"/>
      <c r="G29" s="130" t="n"/>
      <c r="H29" s="130" t="n"/>
      <c r="I29" s="130" t="n"/>
      <c r="J29" s="130" t="n"/>
      <c r="K29" s="119" t="n"/>
      <c r="L29" s="131" t="n">
        <v>46288</v>
      </c>
      <c r="M29" s="106" t="n">
        <v>2</v>
      </c>
      <c r="N29" s="131">
        <f>L29+M29-1</f>
        <v/>
      </c>
      <c r="O29" s="115">
        <f>IF(AND(O$5&gt;=$L29,O$5&lt;=$N29),$K29,"")</f>
        <v/>
      </c>
      <c r="P29" s="115">
        <f>IF(AND(P$5&gt;=$L29,P$5&lt;=$N29),$K29,"")</f>
        <v/>
      </c>
      <c r="Q29" s="115">
        <f>IF(AND(Q$5&gt;=$L29,Q$5&lt;=$N29),$K29,"")</f>
        <v/>
      </c>
      <c r="R29" s="115">
        <f>IF(AND(R$5&gt;=$L29,R$5&lt;=$N29),$K29,"")</f>
        <v/>
      </c>
      <c r="S29" s="115">
        <f>IF(AND(S$5&gt;=$L29,S$5&lt;=$N29),$K29,"")</f>
        <v/>
      </c>
      <c r="T29" s="115">
        <f>IF(AND(T$5&gt;=$L29,T$5&lt;=$N29),$K29,"")</f>
        <v/>
      </c>
      <c r="U29" s="115">
        <f>IF(AND(U$5&gt;=$L29,U$5&lt;=$N29),$K29,"")</f>
        <v/>
      </c>
      <c r="V29" s="115">
        <f>IF(AND(V$5&gt;=$L29,V$5&lt;=$N29),$K29,"")</f>
        <v/>
      </c>
      <c r="W29" s="115">
        <f>IF(AND(W$5&gt;=$L29,W$5&lt;=$N29),$K29,"")</f>
        <v/>
      </c>
      <c r="X29" s="115">
        <f>IF(AND(X$5&gt;=$L29,X$5&lt;=$N29),$K29,"")</f>
        <v/>
      </c>
      <c r="Y29" s="115">
        <f>IF(AND(Y$5&gt;=$L29,Y$5&lt;=$N29),$K29,"")</f>
        <v/>
      </c>
      <c r="Z29" s="115">
        <f>IF(AND(Z$5&gt;=$L29,Z$5&lt;=$N29),$K29,"")</f>
        <v/>
      </c>
      <c r="AA29" s="115">
        <f>IF(AND(AA$5&gt;=$L29,AA$5&lt;=$N29),$K29,"")</f>
        <v/>
      </c>
      <c r="AB29" s="115">
        <f>IF(AND(AB$5&gt;=$L29,AB$5&lt;=$N29),$K29,"")</f>
        <v/>
      </c>
      <c r="AC29" s="115">
        <f>IF(AND(AC$5&gt;=$L29,AC$5&lt;=$N29),$K29,"")</f>
        <v/>
      </c>
      <c r="AD29" s="115">
        <f>IF(AND(AD$5&gt;=$L29,AD$5&lt;=$N29),$K29,"")</f>
        <v/>
      </c>
      <c r="AE29" s="115">
        <f>IF(AND(AE$5&gt;=$L29,AE$5&lt;=$N29),$K29,"")</f>
        <v/>
      </c>
      <c r="AF29" s="115">
        <f>IF(AND(AF$5&gt;=$L29,AF$5&lt;=$N29),$K29,"")</f>
        <v/>
      </c>
      <c r="AG29" s="115">
        <f>IF(AND(AG$5&gt;=$L29,AG$5&lt;=$N29),$K29,"")</f>
        <v/>
      </c>
      <c r="AH29" s="115">
        <f>IF(AND(AH$5&gt;=$L29,AH$5&lt;=$N29),$K29,"")</f>
        <v/>
      </c>
      <c r="AI29" s="115">
        <f>IF(AND(AI$5&gt;=$L29,AI$5&lt;=$N29),$K29,"")</f>
        <v/>
      </c>
      <c r="AJ29" s="115">
        <f>IF(AND(AJ$5&gt;=$L29,AJ$5&lt;=$N29),$K29,"")</f>
        <v/>
      </c>
      <c r="AK29" s="115">
        <f>IF(AND(AK$5&gt;=$L29,AK$5&lt;=$N29),$K29,"")</f>
        <v/>
      </c>
      <c r="AL29" s="115">
        <f>IF(AND(AL$5&gt;=$L29,AL$5&lt;=$N29),$K29,"")</f>
        <v/>
      </c>
      <c r="AM29" s="115">
        <f>IF(AND(AM$5&gt;=$L29,AM$5&lt;=$N29),$K29,"")</f>
        <v/>
      </c>
      <c r="AN29" s="115">
        <f>IF(AND(AN$5&gt;=$L29,AN$5&lt;=$N29),$K29,"")</f>
        <v/>
      </c>
      <c r="AO29" s="115">
        <f>IF(AND(AO$5&gt;=$L29,AO$5&lt;=$N29),$K29,"")</f>
        <v/>
      </c>
      <c r="AP29" s="115">
        <f>IF(AND(AP$5&gt;=$L29,AP$5&lt;=$N29),$K29,"")</f>
        <v/>
      </c>
      <c r="AQ29" s="115">
        <f>IF(AND(AQ$5&gt;=$L29,AQ$5&lt;=$N29),$K29,"")</f>
        <v/>
      </c>
      <c r="AR29" s="115">
        <f>IF(AND(AR$5&gt;=$L29,AR$5&lt;=$N29),$K29,"")</f>
        <v/>
      </c>
      <c r="AS29" s="115">
        <f>IF(AND(AS$5&gt;=$L29,AS$5&lt;=$N29),$K29,"")</f>
        <v/>
      </c>
      <c r="AT29" s="115">
        <f>IF(AND(AT$5&gt;=$L29,AT$5&lt;=$N29),$K29,"")</f>
        <v/>
      </c>
      <c r="AU29" s="115">
        <f>IF(AND(AU$5&gt;=$L29,AU$5&lt;=$N29),$K29,"")</f>
        <v/>
      </c>
      <c r="AV29" s="116">
        <f>IF(AND(AV$5&gt;=$L29,AV$5&lt;=$N29),$K29,"")</f>
        <v/>
      </c>
      <c r="AW29" s="116">
        <f>IF(AND(AW$5&gt;=$L29,AW$5&lt;=$N29),$K29,"")</f>
        <v/>
      </c>
      <c r="AX29" s="116">
        <f>IF(AND(AX$5&gt;=$L29,AX$5&lt;=$N29),$K29,"")</f>
        <v/>
      </c>
      <c r="AY29" s="117">
        <f>IF(AND(AY$5&gt;=$L29,AY$5&lt;=$N29),$K29,"")</f>
        <v/>
      </c>
      <c r="AZ29" s="117">
        <f>IF(AND(AZ$5&gt;=$L29,AZ$5&lt;=$N29),$K29,"")</f>
        <v/>
      </c>
      <c r="BA29" s="117">
        <f>IF(AND(BA$5&gt;=$L29,BA$5&lt;=$N29),$K29,"")</f>
        <v/>
      </c>
      <c r="BB29" s="117">
        <f>IF(AND(BB$5&gt;=$L29,BB$5&lt;=$N29),$K29,"")</f>
        <v/>
      </c>
      <c r="BC29" s="117">
        <f>IF(AND(BC$5&gt;=$L29,BC$5&lt;=$N29),$K29,"")</f>
        <v/>
      </c>
      <c r="BD29" s="117">
        <f>IF(AND(BD$5&gt;=$L29,BD$5&lt;=$N29),$K29,"")</f>
        <v/>
      </c>
      <c r="BE29" s="117">
        <f>IF(AND(BE$5&gt;=$L29,BE$5&lt;=$N29),$K29,"")</f>
        <v/>
      </c>
      <c r="BF29" s="117">
        <f>IF(AND(BF$5&gt;=$L29,BF$5&lt;=$N29),$K29,"")</f>
        <v/>
      </c>
      <c r="BG29" s="118">
        <f>IF(AND(BG$5&gt;=$L29,BG$5&lt;=$N29),$K29,"")</f>
        <v/>
      </c>
      <c r="BH29" s="118">
        <f>IF(AND(BH$5&gt;=$L29,BH$5&lt;=$N29),$K29,"")</f>
        <v/>
      </c>
      <c r="BI29" s="118">
        <f>IF(AND(BI$5&gt;=$L29,BI$5&lt;=$N29),$K29,"")</f>
        <v/>
      </c>
      <c r="BJ29" s="118">
        <f>IF(AND(BJ$5&gt;=$L29,BJ$5&lt;=$N29),$K29,"")</f>
        <v/>
      </c>
      <c r="BK29" s="118">
        <f>IF(AND(BK$5&gt;=$L29,BK$5&lt;=$N29),$K29,"")</f>
        <v/>
      </c>
      <c r="BL29" s="118">
        <f>IF(AND(BL$5&gt;=$L29,BL$5&lt;=$N29),$K29,"")</f>
        <v/>
      </c>
      <c r="BM29" s="118">
        <f>IF(AND(BM$5&gt;=$L29,BM$5&lt;=$N29),$K29,"")</f>
        <v/>
      </c>
      <c r="BN29" s="118">
        <f>IF(AND(BN$5&gt;=$L29,BN$5&lt;=$N29),$K29,"")</f>
        <v/>
      </c>
      <c r="BO29" s="118">
        <f>IF(AND(BO$5&gt;=$L29,BO$5&lt;=$N29),$K29,"")</f>
        <v/>
      </c>
      <c r="BP29" s="118">
        <f>IF(AND(BP$5&gt;=$L29,BP$5&lt;=$N29),$K29,"")</f>
        <v/>
      </c>
      <c r="BQ29" s="118">
        <f>IF(AND(BQ$5&gt;=$L29,BQ$5&lt;=$N29),$K29,"")</f>
        <v/>
      </c>
      <c r="BR29" s="118">
        <f>IF(AND(BR$5&gt;=$L29,BR$5&lt;=$N29),$K29,"")</f>
        <v/>
      </c>
      <c r="BS29" s="118">
        <f>IF(AND(BS$5&gt;=$L29,BS$5&lt;=$N29),$K29,"")</f>
        <v/>
      </c>
      <c r="BT29" s="118">
        <f>IF(AND(BT$5&gt;=$L29,BT$5&lt;=$N29),$K29,"")</f>
        <v/>
      </c>
      <c r="BU29" s="118">
        <f>IF(AND(BU$5&gt;=$L29,BU$5&lt;=$N29),$K29,"")</f>
        <v/>
      </c>
      <c r="BV29" s="118">
        <f>IF(AND(BV$5&gt;=$L29,BV$5&lt;=$N29),$K29,"")</f>
        <v/>
      </c>
      <c r="BW29" s="118">
        <f>IF(AND(BW$5&gt;=$L29,BW$5&lt;=$N29),$K29,"")</f>
        <v/>
      </c>
      <c r="BX29" s="118">
        <f>IF(AND(BX$5&gt;=$L29,BX$5&lt;=$N29),$K29,"")</f>
        <v/>
      </c>
      <c r="BY29" s="123">
        <f>IF(AND(BY$5&gt;=$L29,BY$5&lt;=$N29),$K29,"")</f>
        <v/>
      </c>
      <c r="BZ29" s="123">
        <f>IF(AND(BZ$5&gt;=$L29,BZ$5&lt;=$N29),$K29,"")</f>
        <v/>
      </c>
      <c r="CA29" s="128" t="n"/>
      <c r="CB29" s="128" t="n"/>
      <c r="CC29" s="128" t="n"/>
      <c r="CD29" s="128" t="n"/>
      <c r="CE29" s="128" t="n"/>
      <c r="CF29" s="128" t="n"/>
      <c r="CG29" s="128" t="n"/>
      <c r="CH29" s="128" t="n"/>
    </row>
    <row r="30" s="74">
      <c r="A30" s="119" t="n"/>
      <c r="B30" s="106" t="n">
        <v>24</v>
      </c>
      <c r="C30" s="108" t="inlineStr">
        <is>
          <t>Бетонирование КФ РВС№13.1, 13.2</t>
        </is>
      </c>
      <c r="D30" s="119" t="n"/>
      <c r="E30" s="129" t="n"/>
      <c r="F30" s="130" t="n"/>
      <c r="G30" s="130" t="n"/>
      <c r="H30" s="130" t="n"/>
      <c r="I30" s="130" t="n"/>
      <c r="J30" s="130" t="n"/>
      <c r="K30" s="119" t="n"/>
      <c r="L30" s="131" t="n">
        <v>46290</v>
      </c>
      <c r="M30" s="106" t="n">
        <v>2</v>
      </c>
      <c r="N30" s="131">
        <f>L30+M30-1</f>
        <v/>
      </c>
      <c r="O30" s="115">
        <f>IF(AND(O$5&gt;=$L30,O$5&lt;=$N30),$K30,"")</f>
        <v/>
      </c>
      <c r="P30" s="115">
        <f>IF(AND(P$5&gt;=$L30,P$5&lt;=$N30),$K30,"")</f>
        <v/>
      </c>
      <c r="Q30" s="115">
        <f>IF(AND(Q$5&gt;=$L30,Q$5&lt;=$N30),$K30,"")</f>
        <v/>
      </c>
      <c r="R30" s="115">
        <f>IF(AND(R$5&gt;=$L30,R$5&lt;=$N30),$K30,"")</f>
        <v/>
      </c>
      <c r="S30" s="115">
        <f>IF(AND(S$5&gt;=$L30,S$5&lt;=$N30),$K30,"")</f>
        <v/>
      </c>
      <c r="T30" s="115">
        <f>IF(AND(T$5&gt;=$L30,T$5&lt;=$N30),$K30,"")</f>
        <v/>
      </c>
      <c r="U30" s="115">
        <f>IF(AND(U$5&gt;=$L30,U$5&lt;=$N30),$K30,"")</f>
        <v/>
      </c>
      <c r="V30" s="115">
        <f>IF(AND(V$5&gt;=$L30,V$5&lt;=$N30),$K30,"")</f>
        <v/>
      </c>
      <c r="W30" s="115">
        <f>IF(AND(W$5&gt;=$L30,W$5&lt;=$N30),$K30,"")</f>
        <v/>
      </c>
      <c r="X30" s="115">
        <f>IF(AND(X$5&gt;=$L30,X$5&lt;=$N30),$K30,"")</f>
        <v/>
      </c>
      <c r="Y30" s="115">
        <f>IF(AND(Y$5&gt;=$L30,Y$5&lt;=$N30),$K30,"")</f>
        <v/>
      </c>
      <c r="Z30" s="115">
        <f>IF(AND(Z$5&gt;=$L30,Z$5&lt;=$N30),$K30,"")</f>
        <v/>
      </c>
      <c r="AA30" s="115">
        <f>IF(AND(AA$5&gt;=$L30,AA$5&lt;=$N30),$K30,"")</f>
        <v/>
      </c>
      <c r="AB30" s="115">
        <f>IF(AND(AB$5&gt;=$L30,AB$5&lt;=$N30),$K30,"")</f>
        <v/>
      </c>
      <c r="AC30" s="115">
        <f>IF(AND(AC$5&gt;=$L30,AC$5&lt;=$N30),$K30,"")</f>
        <v/>
      </c>
      <c r="AD30" s="115">
        <f>IF(AND(AD$5&gt;=$L30,AD$5&lt;=$N30),$K30,"")</f>
        <v/>
      </c>
      <c r="AE30" s="115">
        <f>IF(AND(AE$5&gt;=$L30,AE$5&lt;=$N30),$K30,"")</f>
        <v/>
      </c>
      <c r="AF30" s="115">
        <f>IF(AND(AF$5&gt;=$L30,AF$5&lt;=$N30),$K30,"")</f>
        <v/>
      </c>
      <c r="AG30" s="115">
        <f>IF(AND(AG$5&gt;=$L30,AG$5&lt;=$N30),$K30,"")</f>
        <v/>
      </c>
      <c r="AH30" s="115">
        <f>IF(AND(AH$5&gt;=$L30,AH$5&lt;=$N30),$K30,"")</f>
        <v/>
      </c>
      <c r="AI30" s="115">
        <f>IF(AND(AI$5&gt;=$L30,AI$5&lt;=$N30),$K30,"")</f>
        <v/>
      </c>
      <c r="AJ30" s="115">
        <f>IF(AND(AJ$5&gt;=$L30,AJ$5&lt;=$N30),$K30,"")</f>
        <v/>
      </c>
      <c r="AK30" s="115">
        <f>IF(AND(AK$5&gt;=$L30,AK$5&lt;=$N30),$K30,"")</f>
        <v/>
      </c>
      <c r="AL30" s="115">
        <f>IF(AND(AL$5&gt;=$L30,AL$5&lt;=$N30),$K30,"")</f>
        <v/>
      </c>
      <c r="AM30" s="115">
        <f>IF(AND(AM$5&gt;=$L30,AM$5&lt;=$N30),$K30,"")</f>
        <v/>
      </c>
      <c r="AN30" s="115">
        <f>IF(AND(AN$5&gt;=$L30,AN$5&lt;=$N30),$K30,"")</f>
        <v/>
      </c>
      <c r="AO30" s="115">
        <f>IF(AND(AO$5&gt;=$L30,AO$5&lt;=$N30),$K30,"")</f>
        <v/>
      </c>
      <c r="AP30" s="115">
        <f>IF(AND(AP$5&gt;=$L30,AP$5&lt;=$N30),$K30,"")</f>
        <v/>
      </c>
      <c r="AQ30" s="115">
        <f>IF(AND(AQ$5&gt;=$L30,AQ$5&lt;=$N30),$K30,"")</f>
        <v/>
      </c>
      <c r="AR30" s="115">
        <f>IF(AND(AR$5&gt;=$L30,AR$5&lt;=$N30),$K30,"")</f>
        <v/>
      </c>
      <c r="AS30" s="115">
        <f>IF(AND(AS$5&gt;=$L30,AS$5&lt;=$N30),$K30,"")</f>
        <v/>
      </c>
      <c r="AT30" s="115">
        <f>IF(AND(AT$5&gt;=$L30,AT$5&lt;=$N30),$K30,"")</f>
        <v/>
      </c>
      <c r="AU30" s="115">
        <f>IF(AND(AU$5&gt;=$L30,AU$5&lt;=$N30),$K30,"")</f>
        <v/>
      </c>
      <c r="AV30" s="116">
        <f>IF(AND(AV$5&gt;=$L30,AV$5&lt;=$N30),$K30,"")</f>
        <v/>
      </c>
      <c r="AW30" s="116">
        <f>IF(AND(AW$5&gt;=$L30,AW$5&lt;=$N30),$K30,"")</f>
        <v/>
      </c>
      <c r="AX30" s="116">
        <f>IF(AND(AX$5&gt;=$L30,AX$5&lt;=$N30),$K30,"")</f>
        <v/>
      </c>
      <c r="AY30" s="117">
        <f>IF(AND(AY$5&gt;=$L30,AY$5&lt;=$N30),$K30,"")</f>
        <v/>
      </c>
      <c r="AZ30" s="117">
        <f>IF(AND(AZ$5&gt;=$L30,AZ$5&lt;=$N30),$K30,"")</f>
        <v/>
      </c>
      <c r="BA30" s="117">
        <f>IF(AND(BA$5&gt;=$L30,BA$5&lt;=$N30),$K30,"")</f>
        <v/>
      </c>
      <c r="BB30" s="117">
        <f>IF(AND(BB$5&gt;=$L30,BB$5&lt;=$N30),$K30,"")</f>
        <v/>
      </c>
      <c r="BC30" s="117">
        <f>IF(AND(BC$5&gt;=$L30,BC$5&lt;=$N30),$K30,"")</f>
        <v/>
      </c>
      <c r="BD30" s="117">
        <f>IF(AND(BD$5&gt;=$L30,BD$5&lt;=$N30),$K30,"")</f>
        <v/>
      </c>
      <c r="BE30" s="117">
        <f>IF(AND(BE$5&gt;=$L30,BE$5&lt;=$N30),$K30,"")</f>
        <v/>
      </c>
      <c r="BF30" s="117">
        <f>IF(AND(BF$5&gt;=$L30,BF$5&lt;=$N30),$K30,"")</f>
        <v/>
      </c>
      <c r="BG30" s="118">
        <f>IF(AND(BG$5&gt;=$L30,BG$5&lt;=$N30),$K30,"")</f>
        <v/>
      </c>
      <c r="BH30" s="118">
        <f>IF(AND(BH$5&gt;=$L30,BH$5&lt;=$N30),$K30,"")</f>
        <v/>
      </c>
      <c r="BI30" s="118">
        <f>IF(AND(BI$5&gt;=$L30,BI$5&lt;=$N30),$K30,"")</f>
        <v/>
      </c>
      <c r="BJ30" s="118">
        <f>IF(AND(BJ$5&gt;=$L30,BJ$5&lt;=$N30),$K30,"")</f>
        <v/>
      </c>
      <c r="BK30" s="118">
        <f>IF(AND(BK$5&gt;=$L30,BK$5&lt;=$N30),$K30,"")</f>
        <v/>
      </c>
      <c r="BL30" s="118">
        <f>IF(AND(BL$5&gt;=$L30,BL$5&lt;=$N30),$K30,"")</f>
        <v/>
      </c>
      <c r="BM30" s="118">
        <f>IF(AND(BM$5&gt;=$L30,BM$5&lt;=$N30),$K30,"")</f>
        <v/>
      </c>
      <c r="BN30" s="118">
        <f>IF(AND(BN$5&gt;=$L30,BN$5&lt;=$N30),$K30,"")</f>
        <v/>
      </c>
      <c r="BO30" s="118">
        <f>IF(AND(BO$5&gt;=$L30,BO$5&lt;=$N30),$K30,"")</f>
        <v/>
      </c>
      <c r="BP30" s="118">
        <f>IF(AND(BP$5&gt;=$L30,BP$5&lt;=$N30),$K30,"")</f>
        <v/>
      </c>
      <c r="BQ30" s="118">
        <f>IF(AND(BQ$5&gt;=$L30,BQ$5&lt;=$N30),$K30,"")</f>
        <v/>
      </c>
      <c r="BR30" s="118">
        <f>IF(AND(BR$5&gt;=$L30,BR$5&lt;=$N30),$K30,"")</f>
        <v/>
      </c>
      <c r="BS30" s="118">
        <f>IF(AND(BS$5&gt;=$L30,BS$5&lt;=$N30),$K30,"")</f>
        <v/>
      </c>
      <c r="BT30" s="118">
        <f>IF(AND(BT$5&gt;=$L30,BT$5&lt;=$N30),$K30,"")</f>
        <v/>
      </c>
      <c r="BU30" s="118">
        <f>IF(AND(BU$5&gt;=$L30,BU$5&lt;=$N30),$K30,"")</f>
        <v/>
      </c>
      <c r="BV30" s="118">
        <f>IF(AND(BV$5&gt;=$L30,BV$5&lt;=$N30),$K30,"")</f>
        <v/>
      </c>
      <c r="BW30" s="118">
        <f>IF(AND(BW$5&gt;=$L30,BW$5&lt;=$N30),$K30,"")</f>
        <v/>
      </c>
      <c r="BX30" s="118">
        <f>IF(AND(BX$5&gt;=$L30,BX$5&lt;=$N30),$K30,"")</f>
        <v/>
      </c>
      <c r="BY30" s="123">
        <f>IF(AND(BY$5&gt;=$L30,BY$5&lt;=$N30),$K30,"")</f>
        <v/>
      </c>
      <c r="BZ30" s="123">
        <f>IF(AND(BZ$5&gt;=$L30,BZ$5&lt;=$N30),$K30,"")</f>
        <v/>
      </c>
      <c r="CA30" s="128" t="n"/>
      <c r="CB30" s="128" t="n"/>
      <c r="CC30" s="128" t="n"/>
      <c r="CD30" s="128" t="n"/>
      <c r="CE30" s="128" t="n"/>
      <c r="CF30" s="128" t="n"/>
      <c r="CG30" s="128" t="n"/>
      <c r="CH30" s="128" t="n"/>
    </row>
    <row r="31" s="74">
      <c r="A31" s="119" t="n"/>
      <c r="B31" s="106" t="n">
        <v>25</v>
      </c>
      <c r="C31" s="108" t="inlineStr">
        <is>
          <t>Устройство песчаного слоя основания РВС№13.1, 13.2</t>
        </is>
      </c>
      <c r="D31" s="119" t="n"/>
      <c r="E31" s="129" t="n"/>
      <c r="F31" s="130" t="n"/>
      <c r="G31" s="130" t="n"/>
      <c r="H31" s="130" t="n"/>
      <c r="I31" s="130" t="n"/>
      <c r="J31" s="130" t="n"/>
      <c r="K31" s="119" t="n"/>
      <c r="L31" s="131" t="n">
        <v>46293</v>
      </c>
      <c r="M31" s="106" t="n">
        <v>1</v>
      </c>
      <c r="N31" s="131">
        <f>L31+M31-1</f>
        <v/>
      </c>
      <c r="O31" s="115">
        <f>IF(AND(O$5&gt;=$L31,O$5&lt;=$N31),$K31,"")</f>
        <v/>
      </c>
      <c r="P31" s="115">
        <f>IF(AND(P$5&gt;=$L31,P$5&lt;=$N31),$K31,"")</f>
        <v/>
      </c>
      <c r="Q31" s="115">
        <f>IF(AND(Q$5&gt;=$L31,Q$5&lt;=$N31),$K31,"")</f>
        <v/>
      </c>
      <c r="R31" s="115">
        <f>IF(AND(R$5&gt;=$L31,R$5&lt;=$N31),$K31,"")</f>
        <v/>
      </c>
      <c r="S31" s="115">
        <f>IF(AND(S$5&gt;=$L31,S$5&lt;=$N31),$K31,"")</f>
        <v/>
      </c>
      <c r="T31" s="115">
        <f>IF(AND(T$5&gt;=$L31,T$5&lt;=$N31),$K31,"")</f>
        <v/>
      </c>
      <c r="U31" s="115">
        <f>IF(AND(U$5&gt;=$L31,U$5&lt;=$N31),$K31,"")</f>
        <v/>
      </c>
      <c r="V31" s="115">
        <f>IF(AND(V$5&gt;=$L31,V$5&lt;=$N31),$K31,"")</f>
        <v/>
      </c>
      <c r="W31" s="115">
        <f>IF(AND(W$5&gt;=$L31,W$5&lt;=$N31),$K31,"")</f>
        <v/>
      </c>
      <c r="X31" s="115">
        <f>IF(AND(X$5&gt;=$L31,X$5&lt;=$N31),$K31,"")</f>
        <v/>
      </c>
      <c r="Y31" s="115">
        <f>IF(AND(Y$5&gt;=$L31,Y$5&lt;=$N31),$K31,"")</f>
        <v/>
      </c>
      <c r="Z31" s="115">
        <f>IF(AND(Z$5&gt;=$L31,Z$5&lt;=$N31),$K31,"")</f>
        <v/>
      </c>
      <c r="AA31" s="115">
        <f>IF(AND(AA$5&gt;=$L31,AA$5&lt;=$N31),$K31,"")</f>
        <v/>
      </c>
      <c r="AB31" s="115">
        <f>IF(AND(AB$5&gt;=$L31,AB$5&lt;=$N31),$K31,"")</f>
        <v/>
      </c>
      <c r="AC31" s="115">
        <f>IF(AND(AC$5&gt;=$L31,AC$5&lt;=$N31),$K31,"")</f>
        <v/>
      </c>
      <c r="AD31" s="115">
        <f>IF(AND(AD$5&gt;=$L31,AD$5&lt;=$N31),$K31,"")</f>
        <v/>
      </c>
      <c r="AE31" s="115">
        <f>IF(AND(AE$5&gt;=$L31,AE$5&lt;=$N31),$K31,"")</f>
        <v/>
      </c>
      <c r="AF31" s="115">
        <f>IF(AND(AF$5&gt;=$L31,AF$5&lt;=$N31),$K31,"")</f>
        <v/>
      </c>
      <c r="AG31" s="115">
        <f>IF(AND(AG$5&gt;=$L31,AG$5&lt;=$N31),$K31,"")</f>
        <v/>
      </c>
      <c r="AH31" s="115">
        <f>IF(AND(AH$5&gt;=$L31,AH$5&lt;=$N31),$K31,"")</f>
        <v/>
      </c>
      <c r="AI31" s="115">
        <f>IF(AND(AI$5&gt;=$L31,AI$5&lt;=$N31),$K31,"")</f>
        <v/>
      </c>
      <c r="AJ31" s="115">
        <f>IF(AND(AJ$5&gt;=$L31,AJ$5&lt;=$N31),$K31,"")</f>
        <v/>
      </c>
      <c r="AK31" s="115">
        <f>IF(AND(AK$5&gt;=$L31,AK$5&lt;=$N31),$K31,"")</f>
        <v/>
      </c>
      <c r="AL31" s="115">
        <f>IF(AND(AL$5&gt;=$L31,AL$5&lt;=$N31),$K31,"")</f>
        <v/>
      </c>
      <c r="AM31" s="115">
        <f>IF(AND(AM$5&gt;=$L31,AM$5&lt;=$N31),$K31,"")</f>
        <v/>
      </c>
      <c r="AN31" s="115">
        <f>IF(AND(AN$5&gt;=$L31,AN$5&lt;=$N31),$K31,"")</f>
        <v/>
      </c>
      <c r="AO31" s="115">
        <f>IF(AND(AO$5&gt;=$L31,AO$5&lt;=$N31),$K31,"")</f>
        <v/>
      </c>
      <c r="AP31" s="115">
        <f>IF(AND(AP$5&gt;=$L31,AP$5&lt;=$N31),$K31,"")</f>
        <v/>
      </c>
      <c r="AQ31" s="115">
        <f>IF(AND(AQ$5&gt;=$L31,AQ$5&lt;=$N31),$K31,"")</f>
        <v/>
      </c>
      <c r="AR31" s="115">
        <f>IF(AND(AR$5&gt;=$L31,AR$5&lt;=$N31),$K31,"")</f>
        <v/>
      </c>
      <c r="AS31" s="115">
        <f>IF(AND(AS$5&gt;=$L31,AS$5&lt;=$N31),$K31,"")</f>
        <v/>
      </c>
      <c r="AT31" s="115">
        <f>IF(AND(AT$5&gt;=$L31,AT$5&lt;=$N31),$K31,"")</f>
        <v/>
      </c>
      <c r="AU31" s="115">
        <f>IF(AND(AU$5&gt;=$L31,AU$5&lt;=$N31),$K31,"")</f>
        <v/>
      </c>
      <c r="AV31" s="116">
        <f>IF(AND(AV$5&gt;=$L31,AV$5&lt;=$N31),$K31,"")</f>
        <v/>
      </c>
      <c r="AW31" s="116">
        <f>IF(AND(AW$5&gt;=$L31,AW$5&lt;=$N31),$K31,"")</f>
        <v/>
      </c>
      <c r="AX31" s="116">
        <f>IF(AND(AX$5&gt;=$L31,AX$5&lt;=$N31),$K31,"")</f>
        <v/>
      </c>
      <c r="AY31" s="117">
        <f>IF(AND(AY$5&gt;=$L31,AY$5&lt;=$N31),$K31,"")</f>
        <v/>
      </c>
      <c r="AZ31" s="117">
        <f>IF(AND(AZ$5&gt;=$L31,AZ$5&lt;=$N31),$K31,"")</f>
        <v/>
      </c>
      <c r="BA31" s="117">
        <f>IF(AND(BA$5&gt;=$L31,BA$5&lt;=$N31),$K31,"")</f>
        <v/>
      </c>
      <c r="BB31" s="117">
        <f>IF(AND(BB$5&gt;=$L31,BB$5&lt;=$N31),$K31,"")</f>
        <v/>
      </c>
      <c r="BC31" s="117">
        <f>IF(AND(BC$5&gt;=$L31,BC$5&lt;=$N31),$K31,"")</f>
        <v/>
      </c>
      <c r="BD31" s="117">
        <f>IF(AND(BD$5&gt;=$L31,BD$5&lt;=$N31),$K31,"")</f>
        <v/>
      </c>
      <c r="BE31" s="117">
        <f>IF(AND(BE$5&gt;=$L31,BE$5&lt;=$N31),$K31,"")</f>
        <v/>
      </c>
      <c r="BF31" s="117">
        <f>IF(AND(BF$5&gt;=$L31,BF$5&lt;=$N31),$K31,"")</f>
        <v/>
      </c>
      <c r="BG31" s="118">
        <f>IF(AND(BG$5&gt;=$L31,BG$5&lt;=$N31),$K31,"")</f>
        <v/>
      </c>
      <c r="BH31" s="118">
        <f>IF(AND(BH$5&gt;=$L31,BH$5&lt;=$N31),$K31,"")</f>
        <v/>
      </c>
      <c r="BI31" s="118">
        <f>IF(AND(BI$5&gt;=$L31,BI$5&lt;=$N31),$K31,"")</f>
        <v/>
      </c>
      <c r="BJ31" s="118">
        <f>IF(AND(BJ$5&gt;=$L31,BJ$5&lt;=$N31),$K31,"")</f>
        <v/>
      </c>
      <c r="BK31" s="118">
        <f>IF(AND(BK$5&gt;=$L31,BK$5&lt;=$N31),$K31,"")</f>
        <v/>
      </c>
      <c r="BL31" s="118">
        <f>IF(AND(BL$5&gt;=$L31,BL$5&lt;=$N31),$K31,"")</f>
        <v/>
      </c>
      <c r="BM31" s="118">
        <f>IF(AND(BM$5&gt;=$L31,BM$5&lt;=$N31),$K31,"")</f>
        <v/>
      </c>
      <c r="BN31" s="118">
        <f>IF(AND(BN$5&gt;=$L31,BN$5&lt;=$N31),$K31,"")</f>
        <v/>
      </c>
      <c r="BO31" s="118">
        <f>IF(AND(BO$5&gt;=$L31,BO$5&lt;=$N31),$K31,"")</f>
        <v/>
      </c>
      <c r="BP31" s="118">
        <f>IF(AND(BP$5&gt;=$L31,BP$5&lt;=$N31),$K31,"")</f>
        <v/>
      </c>
      <c r="BQ31" s="118">
        <f>IF(AND(BQ$5&gt;=$L31,BQ$5&lt;=$N31),$K31,"")</f>
        <v/>
      </c>
      <c r="BR31" s="118">
        <f>IF(AND(BR$5&gt;=$L31,BR$5&lt;=$N31),$K31,"")</f>
        <v/>
      </c>
      <c r="BS31" s="118">
        <f>IF(AND(BS$5&gt;=$L31,BS$5&lt;=$N31),$K31,"")</f>
        <v/>
      </c>
      <c r="BT31" s="118">
        <f>IF(AND(BT$5&gt;=$L31,BT$5&lt;=$N31),$K31,"")</f>
        <v/>
      </c>
      <c r="BU31" s="118">
        <f>IF(AND(BU$5&gt;=$L31,BU$5&lt;=$N31),$K31,"")</f>
        <v/>
      </c>
      <c r="BV31" s="118">
        <f>IF(AND(BV$5&gt;=$L31,BV$5&lt;=$N31),$K31,"")</f>
        <v/>
      </c>
      <c r="BW31" s="118">
        <f>IF(AND(BW$5&gt;=$L31,BW$5&lt;=$N31),$K31,"")</f>
        <v/>
      </c>
      <c r="BX31" s="118">
        <f>IF(AND(BX$5&gt;=$L31,BX$5&lt;=$N31),$K31,"")</f>
        <v/>
      </c>
      <c r="BY31" s="123">
        <f>IF(AND(BY$5&gt;=$L31,BY$5&lt;=$N31),$K31,"")</f>
        <v/>
      </c>
      <c r="BZ31" s="123">
        <f>IF(AND(BZ$5&gt;=$L31,BZ$5&lt;=$N31),$K31,"")</f>
        <v/>
      </c>
      <c r="CA31" s="128" t="n"/>
      <c r="CB31" s="128" t="n"/>
      <c r="CC31" s="128" t="n"/>
      <c r="CD31" s="128" t="n"/>
      <c r="CE31" s="128" t="n"/>
      <c r="CF31" s="128" t="n"/>
      <c r="CG31" s="128" t="n"/>
      <c r="CH31" s="128" t="n"/>
    </row>
    <row r="32" s="74">
      <c r="A32" s="119" t="n"/>
      <c r="B32" s="106" t="n">
        <v>26</v>
      </c>
      <c r="C32" s="108" t="inlineStr">
        <is>
          <t>Монтаж геомембраны и устройство защитного слоя  основания РВС№13.1, 13.2</t>
        </is>
      </c>
      <c r="D32" s="119" t="n"/>
      <c r="E32" s="129" t="n"/>
      <c r="F32" s="130" t="n"/>
      <c r="G32" s="130" t="n"/>
      <c r="H32" s="130" t="n"/>
      <c r="I32" s="130" t="n"/>
      <c r="J32" s="130" t="n"/>
      <c r="K32" s="119" t="n"/>
      <c r="L32" s="131" t="n">
        <v>46296</v>
      </c>
      <c r="M32" s="122" t="n">
        <v>4</v>
      </c>
      <c r="N32" s="131">
        <f>L32+M32-1</f>
        <v/>
      </c>
      <c r="O32" s="115">
        <f>IF(AND(O$5&gt;=$L32,O$5&lt;=$N32),$K32,"")</f>
        <v/>
      </c>
      <c r="P32" s="115">
        <f>IF(AND(P$5&gt;=$L32,P$5&lt;=$N32),$K32,"")</f>
        <v/>
      </c>
      <c r="Q32" s="115">
        <f>IF(AND(Q$5&gt;=$L32,Q$5&lt;=$N32),$K32,"")</f>
        <v/>
      </c>
      <c r="R32" s="115">
        <f>IF(AND(R$5&gt;=$L32,R$5&lt;=$N32),$K32,"")</f>
        <v/>
      </c>
      <c r="S32" s="115">
        <f>IF(AND(S$5&gt;=$L32,S$5&lt;=$N32),$K32,"")</f>
        <v/>
      </c>
      <c r="T32" s="115">
        <f>IF(AND(T$5&gt;=$L32,T$5&lt;=$N32),$K32,"")</f>
        <v/>
      </c>
      <c r="U32" s="115">
        <f>IF(AND(U$5&gt;=$L32,U$5&lt;=$N32),$K32,"")</f>
        <v/>
      </c>
      <c r="V32" s="115">
        <f>IF(AND(V$5&gt;=$L32,V$5&lt;=$N32),$K32,"")</f>
        <v/>
      </c>
      <c r="W32" s="115">
        <f>IF(AND(W$5&gt;=$L32,W$5&lt;=$N32),$K32,"")</f>
        <v/>
      </c>
      <c r="X32" s="115">
        <f>IF(AND(X$5&gt;=$L32,X$5&lt;=$N32),$K32,"")</f>
        <v/>
      </c>
      <c r="Y32" s="115">
        <f>IF(AND(Y$5&gt;=$L32,Y$5&lt;=$N32),$K32,"")</f>
        <v/>
      </c>
      <c r="Z32" s="115">
        <f>IF(AND(Z$5&gt;=$L32,Z$5&lt;=$N32),$K32,"")</f>
        <v/>
      </c>
      <c r="AA32" s="115">
        <f>IF(AND(AA$5&gt;=$L32,AA$5&lt;=$N32),$K32,"")</f>
        <v/>
      </c>
      <c r="AB32" s="115">
        <f>IF(AND(AB$5&gt;=$L32,AB$5&lt;=$N32),$K32,"")</f>
        <v/>
      </c>
      <c r="AC32" s="115">
        <f>IF(AND(AC$5&gt;=$L32,AC$5&lt;=$N32),$K32,"")</f>
        <v/>
      </c>
      <c r="AD32" s="115">
        <f>IF(AND(AD$5&gt;=$L32,AD$5&lt;=$N32),$K32,"")</f>
        <v/>
      </c>
      <c r="AE32" s="115">
        <f>IF(AND(AE$5&gt;=$L32,AE$5&lt;=$N32),$K32,"")</f>
        <v/>
      </c>
      <c r="AF32" s="115">
        <f>IF(AND(AF$5&gt;=$L32,AF$5&lt;=$N32),$K32,"")</f>
        <v/>
      </c>
      <c r="AG32" s="115">
        <f>IF(AND(AG$5&gt;=$L32,AG$5&lt;=$N32),$K32,"")</f>
        <v/>
      </c>
      <c r="AH32" s="115">
        <f>IF(AND(AH$5&gt;=$L32,AH$5&lt;=$N32),$K32,"")</f>
        <v/>
      </c>
      <c r="AI32" s="115">
        <f>IF(AND(AI$5&gt;=$L32,AI$5&lt;=$N32),$K32,"")</f>
        <v/>
      </c>
      <c r="AJ32" s="115">
        <f>IF(AND(AJ$5&gt;=$L32,AJ$5&lt;=$N32),$K32,"")</f>
        <v/>
      </c>
      <c r="AK32" s="115">
        <f>IF(AND(AK$5&gt;=$L32,AK$5&lt;=$N32),$K32,"")</f>
        <v/>
      </c>
      <c r="AL32" s="115">
        <f>IF(AND(AL$5&gt;=$L32,AL$5&lt;=$N32),$K32,"")</f>
        <v/>
      </c>
      <c r="AM32" s="115">
        <f>IF(AND(AM$5&gt;=$L32,AM$5&lt;=$N32),$K32,"")</f>
        <v/>
      </c>
      <c r="AN32" s="115">
        <f>IF(AND(AN$5&gt;=$L32,AN$5&lt;=$N32),$K32,"")</f>
        <v/>
      </c>
      <c r="AO32" s="115">
        <f>IF(AND(AO$5&gt;=$L32,AO$5&lt;=$N32),$K32,"")</f>
        <v/>
      </c>
      <c r="AP32" s="115">
        <f>IF(AND(AP$5&gt;=$L32,AP$5&lt;=$N32),$K32,"")</f>
        <v/>
      </c>
      <c r="AQ32" s="115">
        <f>IF(AND(AQ$5&gt;=$L32,AQ$5&lt;=$N32),$K32,"")</f>
        <v/>
      </c>
      <c r="AR32" s="115">
        <f>IF(AND(AR$5&gt;=$L32,AR$5&lt;=$N32),$K32,"")</f>
        <v/>
      </c>
      <c r="AS32" s="115">
        <f>IF(AND(AS$5&gt;=$L32,AS$5&lt;=$N32),$K32,"")</f>
        <v/>
      </c>
      <c r="AT32" s="115">
        <f>IF(AND(AT$5&gt;=$L32,AT$5&lt;=$N32),$K32,"")</f>
        <v/>
      </c>
      <c r="AU32" s="115">
        <f>IF(AND(AU$5&gt;=$L32,AU$5&lt;=$N32),$K32,"")</f>
        <v/>
      </c>
      <c r="AV32" s="116">
        <f>IF(AND(AV$5&gt;=$L32,AV$5&lt;=$N32),$K32,"")</f>
        <v/>
      </c>
      <c r="AW32" s="116">
        <f>IF(AND(AW$5&gt;=$L32,AW$5&lt;=$N32),$K32,"")</f>
        <v/>
      </c>
      <c r="AX32" s="116">
        <f>IF(AND(AX$5&gt;=$L32,AX$5&lt;=$N32),$K32,"")</f>
        <v/>
      </c>
      <c r="AY32" s="117">
        <f>IF(AND(AY$5&gt;=$L32,AY$5&lt;=$N32),$K32,"")</f>
        <v/>
      </c>
      <c r="AZ32" s="117">
        <f>IF(AND(AZ$5&gt;=$L32,AZ$5&lt;=$N32),$K32,"")</f>
        <v/>
      </c>
      <c r="BA32" s="117">
        <f>IF(AND(BA$5&gt;=$L32,BA$5&lt;=$N32),$K32,"")</f>
        <v/>
      </c>
      <c r="BB32" s="117">
        <f>IF(AND(BB$5&gt;=$L32,BB$5&lt;=$N32),$K32,"")</f>
        <v/>
      </c>
      <c r="BC32" s="117">
        <f>IF(AND(BC$5&gt;=$L32,BC$5&lt;=$N32),$K32,"")</f>
        <v/>
      </c>
      <c r="BD32" s="117">
        <f>IF(AND(BD$5&gt;=$L32,BD$5&lt;=$N32),$K32,"")</f>
        <v/>
      </c>
      <c r="BE32" s="117">
        <f>IF(AND(BE$5&gt;=$L32,BE$5&lt;=$N32),$K32,"")</f>
        <v/>
      </c>
      <c r="BF32" s="117">
        <f>IF(AND(BF$5&gt;=$L32,BF$5&lt;=$N32),$K32,"")</f>
        <v/>
      </c>
      <c r="BG32" s="118">
        <f>IF(AND(BG$5&gt;=$L32,BG$5&lt;=$N32),$K32,"")</f>
        <v/>
      </c>
      <c r="BH32" s="118">
        <f>IF(AND(BH$5&gt;=$L32,BH$5&lt;=$N32),$K32,"")</f>
        <v/>
      </c>
      <c r="BI32" s="118">
        <f>IF(AND(BI$5&gt;=$L32,BI$5&lt;=$N32),$K32,"")</f>
        <v/>
      </c>
      <c r="BJ32" s="118">
        <f>IF(AND(BJ$5&gt;=$L32,BJ$5&lt;=$N32),$K32,"")</f>
        <v/>
      </c>
      <c r="BK32" s="118">
        <f>IF(AND(BK$5&gt;=$L32,BK$5&lt;=$N32),$K32,"")</f>
        <v/>
      </c>
      <c r="BL32" s="118">
        <f>IF(AND(BL$5&gt;=$L32,BL$5&lt;=$N32),$K32,"")</f>
        <v/>
      </c>
      <c r="BM32" s="118">
        <f>IF(AND(BM$5&gt;=$L32,BM$5&lt;=$N32),$K32,"")</f>
        <v/>
      </c>
      <c r="BN32" s="118">
        <f>IF(AND(BN$5&gt;=$L32,BN$5&lt;=$N32),$K32,"")</f>
        <v/>
      </c>
      <c r="BO32" s="118">
        <f>IF(AND(BO$5&gt;=$L32,BO$5&lt;=$N32),$K32,"")</f>
        <v/>
      </c>
      <c r="BP32" s="118">
        <f>IF(AND(BP$5&gt;=$L32,BP$5&lt;=$N32),$K32,"")</f>
        <v/>
      </c>
      <c r="BQ32" s="118">
        <f>IF(AND(BQ$5&gt;=$L32,BQ$5&lt;=$N32),$K32,"")</f>
        <v/>
      </c>
      <c r="BR32" s="118">
        <f>IF(AND(BR$5&gt;=$L32,BR$5&lt;=$N32),$K32,"")</f>
        <v/>
      </c>
      <c r="BS32" s="118">
        <f>IF(AND(BS$5&gt;=$L32,BS$5&lt;=$N32),$K32,"")</f>
        <v/>
      </c>
      <c r="BT32" s="118">
        <f>IF(AND(BT$5&gt;=$L32,BT$5&lt;=$N32),$K32,"")</f>
        <v/>
      </c>
      <c r="BU32" s="118">
        <f>IF(AND(BU$5&gt;=$L32,BU$5&lt;=$N32),$K32,"")</f>
        <v/>
      </c>
      <c r="BV32" s="118">
        <f>IF(AND(BV$5&gt;=$L32,BV$5&lt;=$N32),$K32,"")</f>
        <v/>
      </c>
      <c r="BW32" s="118">
        <f>IF(AND(BW$5&gt;=$L32,BW$5&lt;=$N32),$K32,"")</f>
        <v/>
      </c>
      <c r="BX32" s="118">
        <f>IF(AND(BX$5&gt;=$L32,BX$5&lt;=$N32),$K32,"")</f>
        <v/>
      </c>
      <c r="BY32" s="123">
        <f>IF(AND(BY$5&gt;=$L32,BY$5&lt;=$N32),$K32,"")</f>
        <v/>
      </c>
      <c r="BZ32" s="123">
        <f>IF(AND(BZ$5&gt;=$L32,BZ$5&lt;=$N32),$K32,"")</f>
        <v/>
      </c>
      <c r="CA32" s="128" t="n"/>
      <c r="CB32" s="128" t="n"/>
      <c r="CC32" s="128" t="n"/>
      <c r="CD32" s="128" t="n"/>
      <c r="CE32" s="128" t="n"/>
      <c r="CF32" s="128" t="n"/>
      <c r="CG32" s="128" t="n"/>
      <c r="CH32" s="128" t="n"/>
    </row>
    <row r="33" s="74">
      <c r="A33" s="119" t="n"/>
      <c r="B33" s="106" t="n">
        <v>27</v>
      </c>
      <c r="C33" s="126" t="inlineStr">
        <is>
          <t>Устройство гидрофобного слоя из асфальтобетона РВС №13.1, 13.2</t>
        </is>
      </c>
      <c r="D33" s="119" t="n"/>
      <c r="E33" s="129" t="n"/>
      <c r="F33" s="130" t="n"/>
      <c r="G33" s="130" t="n"/>
      <c r="H33" s="130" t="n"/>
      <c r="I33" s="130" t="n"/>
      <c r="J33" s="130" t="n"/>
      <c r="K33" s="119" t="n"/>
      <c r="L33" s="131" t="n">
        <v>46300</v>
      </c>
      <c r="M33" s="122" t="n">
        <v>2</v>
      </c>
      <c r="N33" s="131">
        <f>L33+M33-1</f>
        <v/>
      </c>
      <c r="O33" s="115">
        <f>IF(AND(O$5&gt;=$L33,O$5&lt;=$N33),$K33,"")</f>
        <v/>
      </c>
      <c r="P33" s="115">
        <f>IF(AND(P$5&gt;=$L33,P$5&lt;=$N33),$K33,"")</f>
        <v/>
      </c>
      <c r="Q33" s="115">
        <f>IF(AND(Q$5&gt;=$L33,Q$5&lt;=$N33),$K33,"")</f>
        <v/>
      </c>
      <c r="R33" s="115">
        <f>IF(AND(R$5&gt;=$L33,R$5&lt;=$N33),$K33,"")</f>
        <v/>
      </c>
      <c r="S33" s="115">
        <f>IF(AND(S$5&gt;=$L33,S$5&lt;=$N33),$K33,"")</f>
        <v/>
      </c>
      <c r="T33" s="115">
        <f>IF(AND(T$5&gt;=$L33,T$5&lt;=$N33),$K33,"")</f>
        <v/>
      </c>
      <c r="U33" s="115">
        <f>IF(AND(U$5&gt;=$L33,U$5&lt;=$N33),$K33,"")</f>
        <v/>
      </c>
      <c r="V33" s="115">
        <f>IF(AND(V$5&gt;=$L33,V$5&lt;=$N33),$K33,"")</f>
        <v/>
      </c>
      <c r="W33" s="115">
        <f>IF(AND(W$5&gt;=$L33,W$5&lt;=$N33),$K33,"")</f>
        <v/>
      </c>
      <c r="X33" s="115">
        <f>IF(AND(X$5&gt;=$L33,X$5&lt;=$N33),$K33,"")</f>
        <v/>
      </c>
      <c r="Y33" s="115">
        <f>IF(AND(Y$5&gt;=$L33,Y$5&lt;=$N33),$K33,"")</f>
        <v/>
      </c>
      <c r="Z33" s="115">
        <f>IF(AND(Z$5&gt;=$L33,Z$5&lt;=$N33),$K33,"")</f>
        <v/>
      </c>
      <c r="AA33" s="115">
        <f>IF(AND(AA$5&gt;=$L33,AA$5&lt;=$N33),$K33,"")</f>
        <v/>
      </c>
      <c r="AB33" s="115">
        <f>IF(AND(AB$5&gt;=$L33,AB$5&lt;=$N33),$K33,"")</f>
        <v/>
      </c>
      <c r="AC33" s="115">
        <f>IF(AND(AC$5&gt;=$L33,AC$5&lt;=$N33),$K33,"")</f>
        <v/>
      </c>
      <c r="AD33" s="115">
        <f>IF(AND(AD$5&gt;=$L33,AD$5&lt;=$N33),$K33,"")</f>
        <v/>
      </c>
      <c r="AE33" s="115">
        <f>IF(AND(AE$5&gt;=$L33,AE$5&lt;=$N33),$K33,"")</f>
        <v/>
      </c>
      <c r="AF33" s="115">
        <f>IF(AND(AF$5&gt;=$L33,AF$5&lt;=$N33),$K33,"")</f>
        <v/>
      </c>
      <c r="AG33" s="115">
        <f>IF(AND(AG$5&gt;=$L33,AG$5&lt;=$N33),$K33,"")</f>
        <v/>
      </c>
      <c r="AH33" s="115">
        <f>IF(AND(AH$5&gt;=$L33,AH$5&lt;=$N33),$K33,"")</f>
        <v/>
      </c>
      <c r="AI33" s="115">
        <f>IF(AND(AI$5&gt;=$L33,AI$5&lt;=$N33),$K33,"")</f>
        <v/>
      </c>
      <c r="AJ33" s="115">
        <f>IF(AND(AJ$5&gt;=$L33,AJ$5&lt;=$N33),$K33,"")</f>
        <v/>
      </c>
      <c r="AK33" s="115">
        <f>IF(AND(AK$5&gt;=$L33,AK$5&lt;=$N33),$K33,"")</f>
        <v/>
      </c>
      <c r="AL33" s="115">
        <f>IF(AND(AL$5&gt;=$L33,AL$5&lt;=$N33),$K33,"")</f>
        <v/>
      </c>
      <c r="AM33" s="115">
        <f>IF(AND(AM$5&gt;=$L33,AM$5&lt;=$N33),$K33,"")</f>
        <v/>
      </c>
      <c r="AN33" s="115">
        <f>IF(AND(AN$5&gt;=$L33,AN$5&lt;=$N33),$K33,"")</f>
        <v/>
      </c>
      <c r="AO33" s="115">
        <f>IF(AND(AO$5&gt;=$L33,AO$5&lt;=$N33),$K33,"")</f>
        <v/>
      </c>
      <c r="AP33" s="115">
        <f>IF(AND(AP$5&gt;=$L33,AP$5&lt;=$N33),$K33,"")</f>
        <v/>
      </c>
      <c r="AQ33" s="115">
        <f>IF(AND(AQ$5&gt;=$L33,AQ$5&lt;=$N33),$K33,"")</f>
        <v/>
      </c>
      <c r="AR33" s="115">
        <f>IF(AND(AR$5&gt;=$L33,AR$5&lt;=$N33),$K33,"")</f>
        <v/>
      </c>
      <c r="AS33" s="115">
        <f>IF(AND(AS$5&gt;=$L33,AS$5&lt;=$N33),$K33,"")</f>
        <v/>
      </c>
      <c r="AT33" s="115">
        <f>IF(AND(AT$5&gt;=$L33,AT$5&lt;=$N33),$K33,"")</f>
        <v/>
      </c>
      <c r="AU33" s="115">
        <f>IF(AND(AU$5&gt;=$L33,AU$5&lt;=$N33),$K33,"")</f>
        <v/>
      </c>
      <c r="AV33" s="116">
        <f>IF(AND(AV$5&gt;=$L33,AV$5&lt;=$N33),$K33,"")</f>
        <v/>
      </c>
      <c r="AW33" s="116">
        <f>IF(AND(AW$5&gt;=$L33,AW$5&lt;=$N33),$K33,"")</f>
        <v/>
      </c>
      <c r="AX33" s="116">
        <f>IF(AND(AX$5&gt;=$L33,AX$5&lt;=$N33),$K33,"")</f>
        <v/>
      </c>
      <c r="AY33" s="117">
        <f>IF(AND(AY$5&gt;=$L33,AY$5&lt;=$N33),$K33,"")</f>
        <v/>
      </c>
      <c r="AZ33" s="117">
        <f>IF(AND(AZ$5&gt;=$L33,AZ$5&lt;=$N33),$K33,"")</f>
        <v/>
      </c>
      <c r="BA33" s="117">
        <f>IF(AND(BA$5&gt;=$L33,BA$5&lt;=$N33),$K33,"")</f>
        <v/>
      </c>
      <c r="BB33" s="117">
        <f>IF(AND(BB$5&gt;=$L33,BB$5&lt;=$N33),$K33,"")</f>
        <v/>
      </c>
      <c r="BC33" s="117">
        <f>IF(AND(BC$5&gt;=$L33,BC$5&lt;=$N33),$K33,"")</f>
        <v/>
      </c>
      <c r="BD33" s="117">
        <f>IF(AND(BD$5&gt;=$L33,BD$5&lt;=$N33),$K33,"")</f>
        <v/>
      </c>
      <c r="BE33" s="117">
        <f>IF(AND(BE$5&gt;=$L33,BE$5&lt;=$N33),$K33,"")</f>
        <v/>
      </c>
      <c r="BF33" s="117">
        <f>IF(AND(BF$5&gt;=$L33,BF$5&lt;=$N33),$K33,"")</f>
        <v/>
      </c>
      <c r="BG33" s="118">
        <f>IF(AND(BG$5&gt;=$L33,BG$5&lt;=$N33),$K33,"")</f>
        <v/>
      </c>
      <c r="BH33" s="118">
        <f>IF(AND(BH$5&gt;=$L33,BH$5&lt;=$N33),$K33,"")</f>
        <v/>
      </c>
      <c r="BI33" s="118">
        <f>IF(AND(BI$5&gt;=$L33,BI$5&lt;=$N33),$K33,"")</f>
        <v/>
      </c>
      <c r="BJ33" s="118">
        <f>IF(AND(BJ$5&gt;=$L33,BJ$5&lt;=$N33),$K33,"")</f>
        <v/>
      </c>
      <c r="BK33" s="118">
        <f>IF(AND(BK$5&gt;=$L33,BK$5&lt;=$N33),$K33,"")</f>
        <v/>
      </c>
      <c r="BL33" s="118">
        <f>IF(AND(BL$5&gt;=$L33,BL$5&lt;=$N33),$K33,"")</f>
        <v/>
      </c>
      <c r="BM33" s="118">
        <f>IF(AND(BM$5&gt;=$L33,BM$5&lt;=$N33),$K33,"")</f>
        <v/>
      </c>
      <c r="BN33" s="118">
        <f>IF(AND(BN$5&gt;=$L33,BN$5&lt;=$N33),$K33,"")</f>
        <v/>
      </c>
      <c r="BO33" s="118">
        <f>IF(AND(BO$5&gt;=$L33,BO$5&lt;=$N33),$K33,"")</f>
        <v/>
      </c>
      <c r="BP33" s="118">
        <f>IF(AND(BP$5&gt;=$L33,BP$5&lt;=$N33),$K33,"")</f>
        <v/>
      </c>
      <c r="BQ33" s="118">
        <f>IF(AND(BQ$5&gt;=$L33,BQ$5&lt;=$N33),$K33,"")</f>
        <v/>
      </c>
      <c r="BR33" s="118">
        <f>IF(AND(BR$5&gt;=$L33,BR$5&lt;=$N33),$K33,"")</f>
        <v/>
      </c>
      <c r="BS33" s="118">
        <f>IF(AND(BS$5&gt;=$L33,BS$5&lt;=$N33),$K33,"")</f>
        <v/>
      </c>
      <c r="BT33" s="118">
        <f>IF(AND(BT$5&gt;=$L33,BT$5&lt;=$N33),$K33,"")</f>
        <v/>
      </c>
      <c r="BU33" s="118">
        <f>IF(AND(BU$5&gt;=$L33,BU$5&lt;=$N33),$K33,"")</f>
        <v/>
      </c>
      <c r="BV33" s="118">
        <f>IF(AND(BV$5&gt;=$L33,BV$5&lt;=$N33),$K33,"")</f>
        <v/>
      </c>
      <c r="BW33" s="118">
        <f>IF(AND(BW$5&gt;=$L33,BW$5&lt;=$N33),$K33,"")</f>
        <v/>
      </c>
      <c r="BX33" s="118">
        <f>IF(AND(BX$5&gt;=$L33,BX$5&lt;=$N33),$K33,"")</f>
        <v/>
      </c>
      <c r="BY33" s="123">
        <f>IF(AND(BY$5&gt;=$L33,BY$5&lt;=$N33),$K33,"")</f>
        <v/>
      </c>
      <c r="BZ33" s="123">
        <f>IF(AND(BZ$5&gt;=$L33,BZ$5&lt;=$N33),$K33,"")</f>
        <v/>
      </c>
      <c r="CA33" s="128" t="n"/>
      <c r="CB33" s="128" t="n"/>
      <c r="CC33" s="128" t="n"/>
      <c r="CD33" s="128" t="n"/>
      <c r="CE33" s="128" t="n"/>
      <c r="CF33" s="128" t="n"/>
      <c r="CG33" s="128" t="n"/>
      <c r="CH33" s="128" t="n"/>
    </row>
    <row r="34" s="74">
      <c r="A34" s="119" t="n"/>
      <c r="B34" s="106" t="n">
        <v>28</v>
      </c>
      <c r="C34" s="126" t="inlineStr">
        <is>
          <t>Бетонная подготовка фундамента колодцев КУ-1 РВС №13.7-13.12</t>
        </is>
      </c>
      <c r="D34" s="119" t="n"/>
      <c r="E34" s="129" t="n"/>
      <c r="F34" s="130" t="n"/>
      <c r="G34" s="130" t="n"/>
      <c r="H34" s="130" t="n"/>
      <c r="I34" s="130" t="n"/>
      <c r="J34" s="130" t="n"/>
      <c r="K34" s="119" t="n"/>
      <c r="L34" s="131" t="n">
        <v>46288</v>
      </c>
      <c r="M34" s="122" t="n">
        <v>1</v>
      </c>
      <c r="N34" s="131">
        <f>L34+M34-1</f>
        <v/>
      </c>
      <c r="O34" s="115">
        <f>IF(AND(O$5&gt;=$L34,O$5&lt;=$N34),$K34,"")</f>
        <v/>
      </c>
      <c r="P34" s="115">
        <f>IF(AND(P$5&gt;=$L34,P$5&lt;=$N34),$K34,"")</f>
        <v/>
      </c>
      <c r="Q34" s="115">
        <f>IF(AND(Q$5&gt;=$L34,Q$5&lt;=$N34),$K34,"")</f>
        <v/>
      </c>
      <c r="R34" s="115">
        <f>IF(AND(R$5&gt;=$L34,R$5&lt;=$N34),$K34,"")</f>
        <v/>
      </c>
      <c r="S34" s="115">
        <f>IF(AND(S$5&gt;=$L34,S$5&lt;=$N34),$K34,"")</f>
        <v/>
      </c>
      <c r="T34" s="115">
        <f>IF(AND(T$5&gt;=$L34,T$5&lt;=$N34),$K34,"")</f>
        <v/>
      </c>
      <c r="U34" s="115">
        <f>IF(AND(U$5&gt;=$L34,U$5&lt;=$N34),$K34,"")</f>
        <v/>
      </c>
      <c r="V34" s="115">
        <f>IF(AND(V$5&gt;=$L34,V$5&lt;=$N34),$K34,"")</f>
        <v/>
      </c>
      <c r="W34" s="115">
        <f>IF(AND(W$5&gt;=$L34,W$5&lt;=$N34),$K34,"")</f>
        <v/>
      </c>
      <c r="X34" s="115">
        <f>IF(AND(X$5&gt;=$L34,X$5&lt;=$N34),$K34,"")</f>
        <v/>
      </c>
      <c r="Y34" s="115">
        <f>IF(AND(Y$5&gt;=$L34,Y$5&lt;=$N34),$K34,"")</f>
        <v/>
      </c>
      <c r="Z34" s="115">
        <f>IF(AND(Z$5&gt;=$L34,Z$5&lt;=$N34),$K34,"")</f>
        <v/>
      </c>
      <c r="AA34" s="115">
        <f>IF(AND(AA$5&gt;=$L34,AA$5&lt;=$N34),$K34,"")</f>
        <v/>
      </c>
      <c r="AB34" s="115">
        <f>IF(AND(AB$5&gt;=$L34,AB$5&lt;=$N34),$K34,"")</f>
        <v/>
      </c>
      <c r="AC34" s="115">
        <f>IF(AND(AC$5&gt;=$L34,AC$5&lt;=$N34),$K34,"")</f>
        <v/>
      </c>
      <c r="AD34" s="115">
        <f>IF(AND(AD$5&gt;=$L34,AD$5&lt;=$N34),$K34,"")</f>
        <v/>
      </c>
      <c r="AE34" s="115">
        <f>IF(AND(AE$5&gt;=$L34,AE$5&lt;=$N34),$K34,"")</f>
        <v/>
      </c>
      <c r="AF34" s="115">
        <f>IF(AND(AF$5&gt;=$L34,AF$5&lt;=$N34),$K34,"")</f>
        <v/>
      </c>
      <c r="AG34" s="115">
        <f>IF(AND(AG$5&gt;=$L34,AG$5&lt;=$N34),$K34,"")</f>
        <v/>
      </c>
      <c r="AH34" s="115">
        <f>IF(AND(AH$5&gt;=$L34,AH$5&lt;=$N34),$K34,"")</f>
        <v/>
      </c>
      <c r="AI34" s="115">
        <f>IF(AND(AI$5&gt;=$L34,AI$5&lt;=$N34),$K34,"")</f>
        <v/>
      </c>
      <c r="AJ34" s="115">
        <f>IF(AND(AJ$5&gt;=$L34,AJ$5&lt;=$N34),$K34,"")</f>
        <v/>
      </c>
      <c r="AK34" s="115">
        <f>IF(AND(AK$5&gt;=$L34,AK$5&lt;=$N34),$K34,"")</f>
        <v/>
      </c>
      <c r="AL34" s="115">
        <f>IF(AND(AL$5&gt;=$L34,AL$5&lt;=$N34),$K34,"")</f>
        <v/>
      </c>
      <c r="AM34" s="115">
        <f>IF(AND(AM$5&gt;=$L34,AM$5&lt;=$N34),$K34,"")</f>
        <v/>
      </c>
      <c r="AN34" s="115">
        <f>IF(AND(AN$5&gt;=$L34,AN$5&lt;=$N34),$K34,"")</f>
        <v/>
      </c>
      <c r="AO34" s="115">
        <f>IF(AND(AO$5&gt;=$L34,AO$5&lt;=$N34),$K34,"")</f>
        <v/>
      </c>
      <c r="AP34" s="115">
        <f>IF(AND(AP$5&gt;=$L34,AP$5&lt;=$N34),$K34,"")</f>
        <v/>
      </c>
      <c r="AQ34" s="115">
        <f>IF(AND(AQ$5&gt;=$L34,AQ$5&lt;=$N34),$K34,"")</f>
        <v/>
      </c>
      <c r="AR34" s="115">
        <f>IF(AND(AR$5&gt;=$L34,AR$5&lt;=$N34),$K34,"")</f>
        <v/>
      </c>
      <c r="AS34" s="115">
        <f>IF(AND(AS$5&gt;=$L34,AS$5&lt;=$N34),$K34,"")</f>
        <v/>
      </c>
      <c r="AT34" s="115">
        <f>IF(AND(AT$5&gt;=$L34,AT$5&lt;=$N34),$K34,"")</f>
        <v/>
      </c>
      <c r="AU34" s="115">
        <f>IF(AND(AU$5&gt;=$L34,AU$5&lt;=$N34),$K34,"")</f>
        <v/>
      </c>
      <c r="AV34" s="116">
        <f>IF(AND(AV$5&gt;=$L34,AV$5&lt;=$N34),$K34,"")</f>
        <v/>
      </c>
      <c r="AW34" s="116">
        <f>IF(AND(AW$5&gt;=$L34,AW$5&lt;=$N34),$K34,"")</f>
        <v/>
      </c>
      <c r="AX34" s="116">
        <f>IF(AND(AX$5&gt;=$L34,AX$5&lt;=$N34),$K34,"")</f>
        <v/>
      </c>
      <c r="AY34" s="117">
        <f>IF(AND(AY$5&gt;=$L34,AY$5&lt;=$N34),$K34,"")</f>
        <v/>
      </c>
      <c r="AZ34" s="117">
        <f>IF(AND(AZ$5&gt;=$L34,AZ$5&lt;=$N34),$K34,"")</f>
        <v/>
      </c>
      <c r="BA34" s="117">
        <f>IF(AND(BA$5&gt;=$L34,BA$5&lt;=$N34),$K34,"")</f>
        <v/>
      </c>
      <c r="BB34" s="117">
        <f>IF(AND(BB$5&gt;=$L34,BB$5&lt;=$N34),$K34,"")</f>
        <v/>
      </c>
      <c r="BC34" s="117">
        <f>IF(AND(BC$5&gt;=$L34,BC$5&lt;=$N34),$K34,"")</f>
        <v/>
      </c>
      <c r="BD34" s="117">
        <f>IF(AND(BD$5&gt;=$L34,BD$5&lt;=$N34),$K34,"")</f>
        <v/>
      </c>
      <c r="BE34" s="117">
        <f>IF(AND(BE$5&gt;=$L34,BE$5&lt;=$N34),$K34,"")</f>
        <v/>
      </c>
      <c r="BF34" s="117">
        <f>IF(AND(BF$5&gt;=$L34,BF$5&lt;=$N34),$K34,"")</f>
        <v/>
      </c>
      <c r="BG34" s="118">
        <f>IF(AND(BG$5&gt;=$L34,BG$5&lt;=$N34),$K34,"")</f>
        <v/>
      </c>
      <c r="BH34" s="118">
        <f>IF(AND(BH$5&gt;=$L34,BH$5&lt;=$N34),$K34,"")</f>
        <v/>
      </c>
      <c r="BI34" s="118">
        <f>IF(AND(BI$5&gt;=$L34,BI$5&lt;=$N34),$K34,"")</f>
        <v/>
      </c>
      <c r="BJ34" s="118">
        <f>IF(AND(BJ$5&gt;=$L34,BJ$5&lt;=$N34),$K34,"")</f>
        <v/>
      </c>
      <c r="BK34" s="118">
        <f>IF(AND(BK$5&gt;=$L34,BK$5&lt;=$N34),$K34,"")</f>
        <v/>
      </c>
      <c r="BL34" s="118">
        <f>IF(AND(BL$5&gt;=$L34,BL$5&lt;=$N34),$K34,"")</f>
        <v/>
      </c>
      <c r="BM34" s="118">
        <f>IF(AND(BM$5&gt;=$L34,BM$5&lt;=$N34),$K34,"")</f>
        <v/>
      </c>
      <c r="BN34" s="118">
        <f>IF(AND(BN$5&gt;=$L34,BN$5&lt;=$N34),$K34,"")</f>
        <v/>
      </c>
      <c r="BO34" s="118">
        <f>IF(AND(BO$5&gt;=$L34,BO$5&lt;=$N34),$K34,"")</f>
        <v/>
      </c>
      <c r="BP34" s="118">
        <f>IF(AND(BP$5&gt;=$L34,BP$5&lt;=$N34),$K34,"")</f>
        <v/>
      </c>
      <c r="BQ34" s="118">
        <f>IF(AND(BQ$5&gt;=$L34,BQ$5&lt;=$N34),$K34,"")</f>
        <v/>
      </c>
      <c r="BR34" s="118">
        <f>IF(AND(BR$5&gt;=$L34,BR$5&lt;=$N34),$K34,"")</f>
        <v/>
      </c>
      <c r="BS34" s="118">
        <f>IF(AND(BS$5&gt;=$L34,BS$5&lt;=$N34),$K34,"")</f>
        <v/>
      </c>
      <c r="BT34" s="118">
        <f>IF(AND(BT$5&gt;=$L34,BT$5&lt;=$N34),$K34,"")</f>
        <v/>
      </c>
      <c r="BU34" s="118">
        <f>IF(AND(BU$5&gt;=$L34,BU$5&lt;=$N34),$K34,"")</f>
        <v/>
      </c>
      <c r="BV34" s="118">
        <f>IF(AND(BV$5&gt;=$L34,BV$5&lt;=$N34),$K34,"")</f>
        <v/>
      </c>
      <c r="BW34" s="118">
        <f>IF(AND(BW$5&gt;=$L34,BW$5&lt;=$N34),$K34,"")</f>
        <v/>
      </c>
      <c r="BX34" s="118">
        <f>IF(AND(BX$5&gt;=$L34,BX$5&lt;=$N34),$K34,"")</f>
        <v/>
      </c>
      <c r="BY34" s="123">
        <f>IF(AND(BY$5&gt;=$L34,BY$5&lt;=$N34),$K34,"")</f>
        <v/>
      </c>
      <c r="BZ34" s="123">
        <f>IF(AND(BZ$5&gt;=$L34,BZ$5&lt;=$N34),$K34,"")</f>
        <v/>
      </c>
      <c r="CA34" s="128" t="n"/>
      <c r="CB34" s="128" t="n"/>
      <c r="CC34" s="128" t="n"/>
      <c r="CD34" s="128" t="n"/>
      <c r="CE34" s="128" t="n"/>
      <c r="CF34" s="128" t="n"/>
      <c r="CG34" s="128" t="n"/>
      <c r="CH34" s="128" t="n"/>
    </row>
    <row r="35" s="74">
      <c r="A35" s="119" t="n"/>
      <c r="B35" s="106" t="n">
        <v>29</v>
      </c>
      <c r="C35" s="126" t="inlineStr">
        <is>
          <t>Бетонирование фундаментов колодца КУ-1 РВС№13.7-13.12</t>
        </is>
      </c>
      <c r="D35" s="119" t="n"/>
      <c r="E35" s="129" t="n"/>
      <c r="F35" s="130" t="n"/>
      <c r="G35" s="130" t="n"/>
      <c r="H35" s="130" t="n"/>
      <c r="I35" s="130" t="n"/>
      <c r="J35" s="130" t="n"/>
      <c r="K35" s="119" t="n"/>
      <c r="L35" s="131" t="n">
        <v>46290</v>
      </c>
      <c r="M35" s="122" t="n">
        <v>2</v>
      </c>
      <c r="N35" s="131">
        <f>L35+M35-1</f>
        <v/>
      </c>
      <c r="O35" s="115">
        <f>IF(AND(O$5&gt;=$L35,O$5&lt;=$N35),$K35,"")</f>
        <v/>
      </c>
      <c r="P35" s="115">
        <f>IF(AND(P$5&gt;=$L35,P$5&lt;=$N35),$K35,"")</f>
        <v/>
      </c>
      <c r="Q35" s="115">
        <f>IF(AND(Q$5&gt;=$L35,Q$5&lt;=$N35),$K35,"")</f>
        <v/>
      </c>
      <c r="R35" s="115">
        <f>IF(AND(R$5&gt;=$L35,R$5&lt;=$N35),$K35,"")</f>
        <v/>
      </c>
      <c r="S35" s="115">
        <f>IF(AND(S$5&gt;=$L35,S$5&lt;=$N35),$K35,"")</f>
        <v/>
      </c>
      <c r="T35" s="115">
        <f>IF(AND(T$5&gt;=$L35,T$5&lt;=$N35),$K35,"")</f>
        <v/>
      </c>
      <c r="U35" s="115">
        <f>IF(AND(U$5&gt;=$L35,U$5&lt;=$N35),$K35,"")</f>
        <v/>
      </c>
      <c r="V35" s="115">
        <f>IF(AND(V$5&gt;=$L35,V$5&lt;=$N35),$K35,"")</f>
        <v/>
      </c>
      <c r="W35" s="115">
        <f>IF(AND(W$5&gt;=$L35,W$5&lt;=$N35),$K35,"")</f>
        <v/>
      </c>
      <c r="X35" s="115">
        <f>IF(AND(X$5&gt;=$L35,X$5&lt;=$N35),$K35,"")</f>
        <v/>
      </c>
      <c r="Y35" s="115">
        <f>IF(AND(Y$5&gt;=$L35,Y$5&lt;=$N35),$K35,"")</f>
        <v/>
      </c>
      <c r="Z35" s="115">
        <f>IF(AND(Z$5&gt;=$L35,Z$5&lt;=$N35),$K35,"")</f>
        <v/>
      </c>
      <c r="AA35" s="115">
        <f>IF(AND(AA$5&gt;=$L35,AA$5&lt;=$N35),$K35,"")</f>
        <v/>
      </c>
      <c r="AB35" s="115">
        <f>IF(AND(AB$5&gt;=$L35,AB$5&lt;=$N35),$K35,"")</f>
        <v/>
      </c>
      <c r="AC35" s="115">
        <f>IF(AND(AC$5&gt;=$L35,AC$5&lt;=$N35),$K35,"")</f>
        <v/>
      </c>
      <c r="AD35" s="115">
        <f>IF(AND(AD$5&gt;=$L35,AD$5&lt;=$N35),$K35,"")</f>
        <v/>
      </c>
      <c r="AE35" s="115">
        <f>IF(AND(AE$5&gt;=$L35,AE$5&lt;=$N35),$K35,"")</f>
        <v/>
      </c>
      <c r="AF35" s="115">
        <f>IF(AND(AF$5&gt;=$L35,AF$5&lt;=$N35),$K35,"")</f>
        <v/>
      </c>
      <c r="AG35" s="115">
        <f>IF(AND(AG$5&gt;=$L35,AG$5&lt;=$N35),$K35,"")</f>
        <v/>
      </c>
      <c r="AH35" s="115">
        <f>IF(AND(AH$5&gt;=$L35,AH$5&lt;=$N35),$K35,"")</f>
        <v/>
      </c>
      <c r="AI35" s="115">
        <f>IF(AND(AI$5&gt;=$L35,AI$5&lt;=$N35),$K35,"")</f>
        <v/>
      </c>
      <c r="AJ35" s="115">
        <f>IF(AND(AJ$5&gt;=$L35,AJ$5&lt;=$N35),$K35,"")</f>
        <v/>
      </c>
      <c r="AK35" s="115">
        <f>IF(AND(AK$5&gt;=$L35,AK$5&lt;=$N35),$K35,"")</f>
        <v/>
      </c>
      <c r="AL35" s="115">
        <f>IF(AND(AL$5&gt;=$L35,AL$5&lt;=$N35),$K35,"")</f>
        <v/>
      </c>
      <c r="AM35" s="115">
        <f>IF(AND(AM$5&gt;=$L35,AM$5&lt;=$N35),$K35,"")</f>
        <v/>
      </c>
      <c r="AN35" s="115">
        <f>IF(AND(AN$5&gt;=$L35,AN$5&lt;=$N35),$K35,"")</f>
        <v/>
      </c>
      <c r="AO35" s="115">
        <f>IF(AND(AO$5&gt;=$L35,AO$5&lt;=$N35),$K35,"")</f>
        <v/>
      </c>
      <c r="AP35" s="115">
        <f>IF(AND(AP$5&gt;=$L35,AP$5&lt;=$N35),$K35,"")</f>
        <v/>
      </c>
      <c r="AQ35" s="115">
        <f>IF(AND(AQ$5&gt;=$L35,AQ$5&lt;=$N35),$K35,"")</f>
        <v/>
      </c>
      <c r="AR35" s="115">
        <f>IF(AND(AR$5&gt;=$L35,AR$5&lt;=$N35),$K35,"")</f>
        <v/>
      </c>
      <c r="AS35" s="115">
        <f>IF(AND(AS$5&gt;=$L35,AS$5&lt;=$N35),$K35,"")</f>
        <v/>
      </c>
      <c r="AT35" s="115">
        <f>IF(AND(AT$5&gt;=$L35,AT$5&lt;=$N35),$K35,"")</f>
        <v/>
      </c>
      <c r="AU35" s="115">
        <f>IF(AND(AU$5&gt;=$L35,AU$5&lt;=$N35),$K35,"")</f>
        <v/>
      </c>
      <c r="AV35" s="116">
        <f>IF(AND(AV$5&gt;=$L35,AV$5&lt;=$N35),$K35,"")</f>
        <v/>
      </c>
      <c r="AW35" s="116">
        <f>IF(AND(AW$5&gt;=$L35,AW$5&lt;=$N35),$K35,"")</f>
        <v/>
      </c>
      <c r="AX35" s="116">
        <f>IF(AND(AX$5&gt;=$L35,AX$5&lt;=$N35),$K35,"")</f>
        <v/>
      </c>
      <c r="AY35" s="117">
        <f>IF(AND(AY$5&gt;=$L35,AY$5&lt;=$N35),$K35,"")</f>
        <v/>
      </c>
      <c r="AZ35" s="117">
        <f>IF(AND(AZ$5&gt;=$L35,AZ$5&lt;=$N35),$K35,"")</f>
        <v/>
      </c>
      <c r="BA35" s="117">
        <f>IF(AND(BA$5&gt;=$L35,BA$5&lt;=$N35),$K35,"")</f>
        <v/>
      </c>
      <c r="BB35" s="117">
        <f>IF(AND(BB$5&gt;=$L35,BB$5&lt;=$N35),$K35,"")</f>
        <v/>
      </c>
      <c r="BC35" s="117">
        <f>IF(AND(BC$5&gt;=$L35,BC$5&lt;=$N35),$K35,"")</f>
        <v/>
      </c>
      <c r="BD35" s="117">
        <f>IF(AND(BD$5&gt;=$L35,BD$5&lt;=$N35),$K35,"")</f>
        <v/>
      </c>
      <c r="BE35" s="117">
        <f>IF(AND(BE$5&gt;=$L35,BE$5&lt;=$N35),$K35,"")</f>
        <v/>
      </c>
      <c r="BF35" s="117">
        <f>IF(AND(BF$5&gt;=$L35,BF$5&lt;=$N35),$K35,"")</f>
        <v/>
      </c>
      <c r="BG35" s="118">
        <f>IF(AND(BG$5&gt;=$L35,BG$5&lt;=$N35),$K35,"")</f>
        <v/>
      </c>
      <c r="BH35" s="118">
        <f>IF(AND(BH$5&gt;=$L35,BH$5&lt;=$N35),$K35,"")</f>
        <v/>
      </c>
      <c r="BI35" s="118">
        <f>IF(AND(BI$5&gt;=$L35,BI$5&lt;=$N35),$K35,"")</f>
        <v/>
      </c>
      <c r="BJ35" s="118">
        <f>IF(AND(BJ$5&gt;=$L35,BJ$5&lt;=$N35),$K35,"")</f>
        <v/>
      </c>
      <c r="BK35" s="118">
        <f>IF(AND(BK$5&gt;=$L35,BK$5&lt;=$N35),$K35,"")</f>
        <v/>
      </c>
      <c r="BL35" s="118">
        <f>IF(AND(BL$5&gt;=$L35,BL$5&lt;=$N35),$K35,"")</f>
        <v/>
      </c>
      <c r="BM35" s="118">
        <f>IF(AND(BM$5&gt;=$L35,BM$5&lt;=$N35),$K35,"")</f>
        <v/>
      </c>
      <c r="BN35" s="118">
        <f>IF(AND(BN$5&gt;=$L35,BN$5&lt;=$N35),$K35,"")</f>
        <v/>
      </c>
      <c r="BO35" s="118">
        <f>IF(AND(BO$5&gt;=$L35,BO$5&lt;=$N35),$K35,"")</f>
        <v/>
      </c>
      <c r="BP35" s="118">
        <f>IF(AND(BP$5&gt;=$L35,BP$5&lt;=$N35),$K35,"")</f>
        <v/>
      </c>
      <c r="BQ35" s="118">
        <f>IF(AND(BQ$5&gt;=$L35,BQ$5&lt;=$N35),$K35,"")</f>
        <v/>
      </c>
      <c r="BR35" s="118">
        <f>IF(AND(BR$5&gt;=$L35,BR$5&lt;=$N35),$K35,"")</f>
        <v/>
      </c>
      <c r="BS35" s="118">
        <f>IF(AND(BS$5&gt;=$L35,BS$5&lt;=$N35),$K35,"")</f>
        <v/>
      </c>
      <c r="BT35" s="118">
        <f>IF(AND(BT$5&gt;=$L35,BT$5&lt;=$N35),$K35,"")</f>
        <v/>
      </c>
      <c r="BU35" s="118">
        <f>IF(AND(BU$5&gt;=$L35,BU$5&lt;=$N35),$K35,"")</f>
        <v/>
      </c>
      <c r="BV35" s="118">
        <f>IF(AND(BV$5&gt;=$L35,BV$5&lt;=$N35),$K35,"")</f>
        <v/>
      </c>
      <c r="BW35" s="118">
        <f>IF(AND(BW$5&gt;=$L35,BW$5&lt;=$N35),$K35,"")</f>
        <v/>
      </c>
      <c r="BX35" s="118">
        <f>IF(AND(BX$5&gt;=$L35,BX$5&lt;=$N35),$K35,"")</f>
        <v/>
      </c>
      <c r="BY35" s="123">
        <f>IF(AND(BY$5&gt;=$L35,BY$5&lt;=$N35),$K35,"")</f>
        <v/>
      </c>
      <c r="BZ35" s="123">
        <f>IF(AND(BZ$5&gt;=$L35,BZ$5&lt;=$N35),$K35,"")</f>
        <v/>
      </c>
      <c r="CA35" s="128" t="n"/>
      <c r="CB35" s="128" t="n"/>
      <c r="CC35" s="128" t="n"/>
      <c r="CD35" s="128" t="n"/>
      <c r="CE35" s="128" t="n"/>
      <c r="CF35" s="128" t="n"/>
      <c r="CG35" s="128" t="n"/>
      <c r="CH35" s="128" t="n"/>
    </row>
    <row r="36" s="74">
      <c r="A36" s="119" t="n"/>
      <c r="B36" s="106" t="n">
        <v>30</v>
      </c>
      <c r="C36" s="126" t="inlineStr">
        <is>
          <t>Монтаж колодцев КУ РВС№13.7-13.12</t>
        </is>
      </c>
      <c r="D36" s="119" t="n"/>
      <c r="E36" s="129" t="n"/>
      <c r="F36" s="130" t="n"/>
      <c r="G36" s="130" t="n"/>
      <c r="H36" s="130" t="n"/>
      <c r="I36" s="130" t="n"/>
      <c r="J36" s="130" t="n"/>
      <c r="K36" s="119" t="n"/>
      <c r="L36" s="131" t="n">
        <v>46298</v>
      </c>
      <c r="M36" s="122" t="n">
        <v>1</v>
      </c>
      <c r="N36" s="131">
        <f>L36+M36-1</f>
        <v/>
      </c>
      <c r="O36" s="115">
        <f>IF(AND(O$5&gt;=$L36,O$5&lt;=$N36),$K36,"")</f>
        <v/>
      </c>
      <c r="P36" s="115">
        <f>IF(AND(P$5&gt;=$L36,P$5&lt;=$N36),$K36,"")</f>
        <v/>
      </c>
      <c r="Q36" s="115">
        <f>IF(AND(Q$5&gt;=$L36,Q$5&lt;=$N36),$K36,"")</f>
        <v/>
      </c>
      <c r="R36" s="115">
        <f>IF(AND(R$5&gt;=$L36,R$5&lt;=$N36),$K36,"")</f>
        <v/>
      </c>
      <c r="S36" s="115">
        <f>IF(AND(S$5&gt;=$L36,S$5&lt;=$N36),$K36,"")</f>
        <v/>
      </c>
      <c r="T36" s="115">
        <f>IF(AND(T$5&gt;=$L36,T$5&lt;=$N36),$K36,"")</f>
        <v/>
      </c>
      <c r="U36" s="115">
        <f>IF(AND(U$5&gt;=$L36,U$5&lt;=$N36),$K36,"")</f>
        <v/>
      </c>
      <c r="V36" s="115">
        <f>IF(AND(V$5&gt;=$L36,V$5&lt;=$N36),$K36,"")</f>
        <v/>
      </c>
      <c r="W36" s="115">
        <f>IF(AND(W$5&gt;=$L36,W$5&lt;=$N36),$K36,"")</f>
        <v/>
      </c>
      <c r="X36" s="115">
        <f>IF(AND(X$5&gt;=$L36,X$5&lt;=$N36),$K36,"")</f>
        <v/>
      </c>
      <c r="Y36" s="115">
        <f>IF(AND(Y$5&gt;=$L36,Y$5&lt;=$N36),$K36,"")</f>
        <v/>
      </c>
      <c r="Z36" s="115">
        <f>IF(AND(Z$5&gt;=$L36,Z$5&lt;=$N36),$K36,"")</f>
        <v/>
      </c>
      <c r="AA36" s="115">
        <f>IF(AND(AA$5&gt;=$L36,AA$5&lt;=$N36),$K36,"")</f>
        <v/>
      </c>
      <c r="AB36" s="115">
        <f>IF(AND(AB$5&gt;=$L36,AB$5&lt;=$N36),$K36,"")</f>
        <v/>
      </c>
      <c r="AC36" s="115">
        <f>IF(AND(AC$5&gt;=$L36,AC$5&lt;=$N36),$K36,"")</f>
        <v/>
      </c>
      <c r="AD36" s="115">
        <f>IF(AND(AD$5&gt;=$L36,AD$5&lt;=$N36),$K36,"")</f>
        <v/>
      </c>
      <c r="AE36" s="115">
        <f>IF(AND(AE$5&gt;=$L36,AE$5&lt;=$N36),$K36,"")</f>
        <v/>
      </c>
      <c r="AF36" s="115">
        <f>IF(AND(AF$5&gt;=$L36,AF$5&lt;=$N36),$K36,"")</f>
        <v/>
      </c>
      <c r="AG36" s="115">
        <f>IF(AND(AG$5&gt;=$L36,AG$5&lt;=$N36),$K36,"")</f>
        <v/>
      </c>
      <c r="AH36" s="115">
        <f>IF(AND(AH$5&gt;=$L36,AH$5&lt;=$N36),$K36,"")</f>
        <v/>
      </c>
      <c r="AI36" s="115">
        <f>IF(AND(AI$5&gt;=$L36,AI$5&lt;=$N36),$K36,"")</f>
        <v/>
      </c>
      <c r="AJ36" s="115">
        <f>IF(AND(AJ$5&gt;=$L36,AJ$5&lt;=$N36),$K36,"")</f>
        <v/>
      </c>
      <c r="AK36" s="115">
        <f>IF(AND(AK$5&gt;=$L36,AK$5&lt;=$N36),$K36,"")</f>
        <v/>
      </c>
      <c r="AL36" s="115">
        <f>IF(AND(AL$5&gt;=$L36,AL$5&lt;=$N36),$K36,"")</f>
        <v/>
      </c>
      <c r="AM36" s="115">
        <f>IF(AND(AM$5&gt;=$L36,AM$5&lt;=$N36),$K36,"")</f>
        <v/>
      </c>
      <c r="AN36" s="115">
        <f>IF(AND(AN$5&gt;=$L36,AN$5&lt;=$N36),$K36,"")</f>
        <v/>
      </c>
      <c r="AO36" s="115">
        <f>IF(AND(AO$5&gt;=$L36,AO$5&lt;=$N36),$K36,"")</f>
        <v/>
      </c>
      <c r="AP36" s="115">
        <f>IF(AND(AP$5&gt;=$L36,AP$5&lt;=$N36),$K36,"")</f>
        <v/>
      </c>
      <c r="AQ36" s="115">
        <f>IF(AND(AQ$5&gt;=$L36,AQ$5&lt;=$N36),$K36,"")</f>
        <v/>
      </c>
      <c r="AR36" s="115">
        <f>IF(AND(AR$5&gt;=$L36,AR$5&lt;=$N36),$K36,"")</f>
        <v/>
      </c>
      <c r="AS36" s="115">
        <f>IF(AND(AS$5&gt;=$L36,AS$5&lt;=$N36),$K36,"")</f>
        <v/>
      </c>
      <c r="AT36" s="115">
        <f>IF(AND(AT$5&gt;=$L36,AT$5&lt;=$N36),$K36,"")</f>
        <v/>
      </c>
      <c r="AU36" s="115">
        <f>IF(AND(AU$5&gt;=$L36,AU$5&lt;=$N36),$K36,"")</f>
        <v/>
      </c>
      <c r="AV36" s="116">
        <f>IF(AND(AV$5&gt;=$L36,AV$5&lt;=$N36),$K36,"")</f>
        <v/>
      </c>
      <c r="AW36" s="116">
        <f>IF(AND(AW$5&gt;=$L36,AW$5&lt;=$N36),$K36,"")</f>
        <v/>
      </c>
      <c r="AX36" s="116">
        <f>IF(AND(AX$5&gt;=$L36,AX$5&lt;=$N36),$K36,"")</f>
        <v/>
      </c>
      <c r="AY36" s="117">
        <f>IF(AND(AY$5&gt;=$L36,AY$5&lt;=$N36),$K36,"")</f>
        <v/>
      </c>
      <c r="AZ36" s="117">
        <f>IF(AND(AZ$5&gt;=$L36,AZ$5&lt;=$N36),$K36,"")</f>
        <v/>
      </c>
      <c r="BA36" s="117">
        <f>IF(AND(BA$5&gt;=$L36,BA$5&lt;=$N36),$K36,"")</f>
        <v/>
      </c>
      <c r="BB36" s="117">
        <f>IF(AND(BB$5&gt;=$L36,BB$5&lt;=$N36),$K36,"")</f>
        <v/>
      </c>
      <c r="BC36" s="117">
        <f>IF(AND(BC$5&gt;=$L36,BC$5&lt;=$N36),$K36,"")</f>
        <v/>
      </c>
      <c r="BD36" s="117">
        <f>IF(AND(BD$5&gt;=$L36,BD$5&lt;=$N36),$K36,"")</f>
        <v/>
      </c>
      <c r="BE36" s="117">
        <f>IF(AND(BE$5&gt;=$L36,BE$5&lt;=$N36),$K36,"")</f>
        <v/>
      </c>
      <c r="BF36" s="117">
        <f>IF(AND(BF$5&gt;=$L36,BF$5&lt;=$N36),$K36,"")</f>
        <v/>
      </c>
      <c r="BG36" s="118">
        <f>IF(AND(BG$5&gt;=$L36,BG$5&lt;=$N36),$K36,"")</f>
        <v/>
      </c>
      <c r="BH36" s="118">
        <f>IF(AND(BH$5&gt;=$L36,BH$5&lt;=$N36),$K36,"")</f>
        <v/>
      </c>
      <c r="BI36" s="118">
        <f>IF(AND(BI$5&gt;=$L36,BI$5&lt;=$N36),$K36,"")</f>
        <v/>
      </c>
      <c r="BJ36" s="118">
        <f>IF(AND(BJ$5&gt;=$L36,BJ$5&lt;=$N36),$K36,"")</f>
        <v/>
      </c>
      <c r="BK36" s="118">
        <f>IF(AND(BK$5&gt;=$L36,BK$5&lt;=$N36),$K36,"")</f>
        <v/>
      </c>
      <c r="BL36" s="118">
        <f>IF(AND(BL$5&gt;=$L36,BL$5&lt;=$N36),$K36,"")</f>
        <v/>
      </c>
      <c r="BM36" s="118">
        <f>IF(AND(BM$5&gt;=$L36,BM$5&lt;=$N36),$K36,"")</f>
        <v/>
      </c>
      <c r="BN36" s="118">
        <f>IF(AND(BN$5&gt;=$L36,BN$5&lt;=$N36),$K36,"")</f>
        <v/>
      </c>
      <c r="BO36" s="118">
        <f>IF(AND(BO$5&gt;=$L36,BO$5&lt;=$N36),$K36,"")</f>
        <v/>
      </c>
      <c r="BP36" s="118">
        <f>IF(AND(BP$5&gt;=$L36,BP$5&lt;=$N36),$K36,"")</f>
        <v/>
      </c>
      <c r="BQ36" s="118">
        <f>IF(AND(BQ$5&gt;=$L36,BQ$5&lt;=$N36),$K36,"")</f>
        <v/>
      </c>
      <c r="BR36" s="118">
        <f>IF(AND(BR$5&gt;=$L36,BR$5&lt;=$N36),$K36,"")</f>
        <v/>
      </c>
      <c r="BS36" s="118">
        <f>IF(AND(BS$5&gt;=$L36,BS$5&lt;=$N36),$K36,"")</f>
        <v/>
      </c>
      <c r="BT36" s="118">
        <f>IF(AND(BT$5&gt;=$L36,BT$5&lt;=$N36),$K36,"")</f>
        <v/>
      </c>
      <c r="BU36" s="118">
        <f>IF(AND(BU$5&gt;=$L36,BU$5&lt;=$N36),$K36,"")</f>
        <v/>
      </c>
      <c r="BV36" s="118">
        <f>IF(AND(BV$5&gt;=$L36,BV$5&lt;=$N36),$K36,"")</f>
        <v/>
      </c>
      <c r="BW36" s="118">
        <f>IF(AND(BW$5&gt;=$L36,BW$5&lt;=$N36),$K36,"")</f>
        <v/>
      </c>
      <c r="BX36" s="118">
        <f>IF(AND(BX$5&gt;=$L36,BX$5&lt;=$N36),$K36,"")</f>
        <v/>
      </c>
      <c r="BY36" s="123">
        <f>IF(AND(BY$5&gt;=$L36,BY$5&lt;=$N36),$K36,"")</f>
        <v/>
      </c>
      <c r="BZ36" s="123">
        <f>IF(AND(BZ$5&gt;=$L36,BZ$5&lt;=$N36),$K36,"")</f>
        <v/>
      </c>
      <c r="CA36" s="128" t="n"/>
      <c r="CB36" s="128" t="n"/>
      <c r="CC36" s="128" t="n"/>
      <c r="CD36" s="128" t="n"/>
      <c r="CE36" s="128" t="n"/>
      <c r="CF36" s="128" t="n"/>
      <c r="CG36" s="128" t="n"/>
      <c r="CH36" s="128" t="n"/>
    </row>
    <row r="37" s="74">
      <c r="A37" s="119" t="n"/>
      <c r="B37" s="106" t="n">
        <v>31</v>
      </c>
      <c r="C37" s="126" t="inlineStr">
        <is>
          <t>Бетонная подготовка фундамента колодцев КУ-1 РВС №13.1-13.6</t>
        </is>
      </c>
      <c r="D37" s="119" t="n"/>
      <c r="E37" s="129" t="n"/>
      <c r="F37" s="130" t="n"/>
      <c r="G37" s="130" t="n"/>
      <c r="H37" s="130" t="n"/>
      <c r="I37" s="130" t="n"/>
      <c r="J37" s="130" t="n"/>
      <c r="K37" s="119" t="n"/>
      <c r="L37" s="133" t="n">
        <v>46300</v>
      </c>
      <c r="M37" s="134" t="n">
        <v>1</v>
      </c>
      <c r="N37" s="133">
        <f>L37+M37-1</f>
        <v/>
      </c>
      <c r="O37" s="115">
        <f>IF(AND(O$5&gt;=$L37,O$5&lt;=$N37),$K37,"")</f>
        <v/>
      </c>
      <c r="P37" s="115">
        <f>IF(AND(P$5&gt;=$L37,P$5&lt;=$N37),$K37,"")</f>
        <v/>
      </c>
      <c r="Q37" s="115">
        <f>IF(AND(Q$5&gt;=$L37,Q$5&lt;=$N37),$K37,"")</f>
        <v/>
      </c>
      <c r="R37" s="115">
        <f>IF(AND(R$5&gt;=$L37,R$5&lt;=$N37),$K37,"")</f>
        <v/>
      </c>
      <c r="S37" s="115">
        <f>IF(AND(S$5&gt;=$L37,S$5&lt;=$N37),$K37,"")</f>
        <v/>
      </c>
      <c r="T37" s="115">
        <f>IF(AND(T$5&gt;=$L37,T$5&lt;=$N37),$K37,"")</f>
        <v/>
      </c>
      <c r="U37" s="115">
        <f>IF(AND(U$5&gt;=$L37,U$5&lt;=$N37),$K37,"")</f>
        <v/>
      </c>
      <c r="V37" s="115">
        <f>IF(AND(V$5&gt;=$L37,V$5&lt;=$N37),$K37,"")</f>
        <v/>
      </c>
      <c r="W37" s="115">
        <f>IF(AND(W$5&gt;=$L37,W$5&lt;=$N37),$K37,"")</f>
        <v/>
      </c>
      <c r="X37" s="115">
        <f>IF(AND(X$5&gt;=$L37,X$5&lt;=$N37),$K37,"")</f>
        <v/>
      </c>
      <c r="Y37" s="115">
        <f>IF(AND(Y$5&gt;=$L37,Y$5&lt;=$N37),$K37,"")</f>
        <v/>
      </c>
      <c r="Z37" s="115">
        <f>IF(AND(Z$5&gt;=$L37,Z$5&lt;=$N37),$K37,"")</f>
        <v/>
      </c>
      <c r="AA37" s="115">
        <f>IF(AND(AA$5&gt;=$L37,AA$5&lt;=$N37),$K37,"")</f>
        <v/>
      </c>
      <c r="AB37" s="115">
        <f>IF(AND(AB$5&gt;=$L37,AB$5&lt;=$N37),$K37,"")</f>
        <v/>
      </c>
      <c r="AC37" s="115">
        <f>IF(AND(AC$5&gt;=$L37,AC$5&lt;=$N37),$K37,"")</f>
        <v/>
      </c>
      <c r="AD37" s="115">
        <f>IF(AND(AD$5&gt;=$L37,AD$5&lt;=$N37),$K37,"")</f>
        <v/>
      </c>
      <c r="AE37" s="115">
        <f>IF(AND(AE$5&gt;=$L37,AE$5&lt;=$N37),$K37,"")</f>
        <v/>
      </c>
      <c r="AF37" s="115">
        <f>IF(AND(AF$5&gt;=$L37,AF$5&lt;=$N37),$K37,"")</f>
        <v/>
      </c>
      <c r="AG37" s="115">
        <f>IF(AND(AG$5&gt;=$L37,AG$5&lt;=$N37),$K37,"")</f>
        <v/>
      </c>
      <c r="AH37" s="115">
        <f>IF(AND(AH$5&gt;=$L37,AH$5&lt;=$N37),$K37,"")</f>
        <v/>
      </c>
      <c r="AI37" s="115">
        <f>IF(AND(AI$5&gt;=$L37,AI$5&lt;=$N37),$K37,"")</f>
        <v/>
      </c>
      <c r="AJ37" s="115">
        <f>IF(AND(AJ$5&gt;=$L37,AJ$5&lt;=$N37),$K37,"")</f>
        <v/>
      </c>
      <c r="AK37" s="115">
        <f>IF(AND(AK$5&gt;=$L37,AK$5&lt;=$N37),$K37,"")</f>
        <v/>
      </c>
      <c r="AL37" s="115">
        <f>IF(AND(AL$5&gt;=$L37,AL$5&lt;=$N37),$K37,"")</f>
        <v/>
      </c>
      <c r="AM37" s="115">
        <f>IF(AND(AM$5&gt;=$L37,AM$5&lt;=$N37),$K37,"")</f>
        <v/>
      </c>
      <c r="AN37" s="115">
        <f>IF(AND(AN$5&gt;=$L37,AN$5&lt;=$N37),$K37,"")</f>
        <v/>
      </c>
      <c r="AO37" s="115">
        <f>IF(AND(AO$5&gt;=$L37,AO$5&lt;=$N37),$K37,"")</f>
        <v/>
      </c>
      <c r="AP37" s="115">
        <f>IF(AND(AP$5&gt;=$L37,AP$5&lt;=$N37),$K37,"")</f>
        <v/>
      </c>
      <c r="AQ37" s="115">
        <f>IF(AND(AQ$5&gt;=$L37,AQ$5&lt;=$N37),$K37,"")</f>
        <v/>
      </c>
      <c r="AR37" s="115">
        <f>IF(AND(AR$5&gt;=$L37,AR$5&lt;=$N37),$K37,"")</f>
        <v/>
      </c>
      <c r="AS37" s="115">
        <f>IF(AND(AS$5&gt;=$L37,AS$5&lt;=$N37),$K37,"")</f>
        <v/>
      </c>
      <c r="AT37" s="115">
        <f>IF(AND(AT$5&gt;=$L37,AT$5&lt;=$N37),$K37,"")</f>
        <v/>
      </c>
      <c r="AU37" s="115">
        <f>IF(AND(AU$5&gt;=$L37,AU$5&lt;=$N37),$K37,"")</f>
        <v/>
      </c>
      <c r="AV37" s="116">
        <f>IF(AND(AV$5&gt;=$L37,AV$5&lt;=$N37),$K37,"")</f>
        <v/>
      </c>
      <c r="AW37" s="116">
        <f>IF(AND(AW$5&gt;=$L37,AW$5&lt;=$N37),$K37,"")</f>
        <v/>
      </c>
      <c r="AX37" s="116">
        <f>IF(AND(AX$5&gt;=$L37,AX$5&lt;=$N37),$K37,"")</f>
        <v/>
      </c>
      <c r="AY37" s="117">
        <f>IF(AND(AY$5&gt;=$L37,AY$5&lt;=$N37),$K37,"")</f>
        <v/>
      </c>
      <c r="AZ37" s="117">
        <f>IF(AND(AZ$5&gt;=$L37,AZ$5&lt;=$N37),$K37,"")</f>
        <v/>
      </c>
      <c r="BA37" s="117">
        <f>IF(AND(BA$5&gt;=$L37,BA$5&lt;=$N37),$K37,"")</f>
        <v/>
      </c>
      <c r="BB37" s="117">
        <f>IF(AND(BB$5&gt;=$L37,BB$5&lt;=$N37),$K37,"")</f>
        <v/>
      </c>
      <c r="BC37" s="117">
        <f>IF(AND(BC$5&gt;=$L37,BC$5&lt;=$N37),$K37,"")</f>
        <v/>
      </c>
      <c r="BD37" s="117">
        <f>IF(AND(BD$5&gt;=$L37,BD$5&lt;=$N37),$K37,"")</f>
        <v/>
      </c>
      <c r="BE37" s="117">
        <f>IF(AND(BE$5&gt;=$L37,BE$5&lt;=$N37),$K37,"")</f>
        <v/>
      </c>
      <c r="BF37" s="117">
        <f>IF(AND(BF$5&gt;=$L37,BF$5&lt;=$N37),$K37,"")</f>
        <v/>
      </c>
      <c r="BG37" s="118">
        <f>IF(AND(BG$5&gt;=$L37,BG$5&lt;=$N37),$K37,"")</f>
        <v/>
      </c>
      <c r="BH37" s="118">
        <f>IF(AND(BH$5&gt;=$L37,BH$5&lt;=$N37),$K37,"")</f>
        <v/>
      </c>
      <c r="BI37" s="118">
        <f>IF(AND(BI$5&gt;=$L37,BI$5&lt;=$N37),$K37,"")</f>
        <v/>
      </c>
      <c r="BJ37" s="118">
        <f>IF(AND(BJ$5&gt;=$L37,BJ$5&lt;=$N37),$K37,"")</f>
        <v/>
      </c>
      <c r="BK37" s="118">
        <f>IF(AND(BK$5&gt;=$L37,BK$5&lt;=$N37),$K37,"")</f>
        <v/>
      </c>
      <c r="BL37" s="118">
        <f>IF(AND(BL$5&gt;=$L37,BL$5&lt;=$N37),$K37,"")</f>
        <v/>
      </c>
      <c r="BM37" s="118">
        <f>IF(AND(BM$5&gt;=$L37,BM$5&lt;=$N37),$K37,"")</f>
        <v/>
      </c>
      <c r="BN37" s="118">
        <f>IF(AND(BN$5&gt;=$L37,BN$5&lt;=$N37),$K37,"")</f>
        <v/>
      </c>
      <c r="BO37" s="118">
        <f>IF(AND(BO$5&gt;=$L37,BO$5&lt;=$N37),$K37,"")</f>
        <v/>
      </c>
      <c r="BP37" s="118">
        <f>IF(AND(BP$5&gt;=$L37,BP$5&lt;=$N37),$K37,"")</f>
        <v/>
      </c>
      <c r="BQ37" s="118">
        <f>IF(AND(BQ$5&gt;=$L37,BQ$5&lt;=$N37),$K37,"")</f>
        <v/>
      </c>
      <c r="BR37" s="118">
        <f>IF(AND(BR$5&gt;=$L37,BR$5&lt;=$N37),$K37,"")</f>
        <v/>
      </c>
      <c r="BS37" s="118">
        <f>IF(AND(BS$5&gt;=$L37,BS$5&lt;=$N37),$K37,"")</f>
        <v/>
      </c>
      <c r="BT37" s="118">
        <f>IF(AND(BT$5&gt;=$L37,BT$5&lt;=$N37),$K37,"")</f>
        <v/>
      </c>
      <c r="BU37" s="118">
        <f>IF(AND(BU$5&gt;=$L37,BU$5&lt;=$N37),$K37,"")</f>
        <v/>
      </c>
      <c r="BV37" s="118">
        <f>IF(AND(BV$5&gt;=$L37,BV$5&lt;=$N37),$K37,"")</f>
        <v/>
      </c>
      <c r="BW37" s="118">
        <f>IF(AND(BW$5&gt;=$L37,BW$5&lt;=$N37),$K37,"")</f>
        <v/>
      </c>
      <c r="BX37" s="118">
        <f>IF(AND(BX$5&gt;=$L37,BX$5&lt;=$N37),$K37,"")</f>
        <v/>
      </c>
      <c r="BY37" s="123">
        <f>IF(AND(BY$5&gt;=$L37,BY$5&lt;=$N37),$K37,"")</f>
        <v/>
      </c>
      <c r="BZ37" s="123">
        <f>IF(AND(BZ$5&gt;=$L37,BZ$5&lt;=$N37),$K37,"")</f>
        <v/>
      </c>
      <c r="CA37" s="128" t="n"/>
      <c r="CB37" s="128" t="n"/>
      <c r="CC37" s="128" t="n"/>
      <c r="CD37" s="128" t="n"/>
      <c r="CE37" s="128" t="n"/>
      <c r="CF37" s="128" t="n"/>
      <c r="CG37" s="128" t="n"/>
      <c r="CH37" s="128" t="n"/>
    </row>
    <row r="38" s="74">
      <c r="A38" s="119" t="n"/>
      <c r="B38" s="106" t="n">
        <v>32</v>
      </c>
      <c r="C38" s="126" t="inlineStr">
        <is>
          <t>Бетонирование фундаментов колодца КУ-1 РВС№13.1-13.6</t>
        </is>
      </c>
      <c r="D38" s="113" t="n"/>
      <c r="E38" s="120" t="n"/>
      <c r="F38" s="121" t="n"/>
      <c r="G38" s="121" t="n"/>
      <c r="H38" s="121" t="n"/>
      <c r="I38" s="121" t="n"/>
      <c r="J38" s="121" t="n"/>
      <c r="K38" s="113" t="n"/>
      <c r="L38" s="131" t="n">
        <v>46301</v>
      </c>
      <c r="M38" s="122" t="n">
        <v>1</v>
      </c>
      <c r="N38" s="131">
        <f>L38+M38-1</f>
        <v/>
      </c>
      <c r="O38" s="115">
        <f>IF(AND(O$5&gt;=$L38,O$5&lt;=$N38),$K38,"")</f>
        <v/>
      </c>
      <c r="P38" s="115">
        <f>IF(AND(P$5&gt;=$L38,P$5&lt;=$N38),$K38,"")</f>
        <v/>
      </c>
      <c r="Q38" s="115">
        <f>IF(AND(Q$5&gt;=$L38,Q$5&lt;=$N38),$K38,"")</f>
        <v/>
      </c>
      <c r="R38" s="115">
        <f>IF(AND(R$5&gt;=$L38,R$5&lt;=$N38),$K38,"")</f>
        <v/>
      </c>
      <c r="S38" s="115">
        <f>IF(AND(S$5&gt;=$L38,S$5&lt;=$N38),$K38,"")</f>
        <v/>
      </c>
      <c r="T38" s="115">
        <f>IF(AND(T$5&gt;=$L38,T$5&lt;=$N38),$K38,"")</f>
        <v/>
      </c>
      <c r="U38" s="115">
        <f>IF(AND(U$5&gt;=$L38,U$5&lt;=$N38),$K38,"")</f>
        <v/>
      </c>
      <c r="V38" s="115">
        <f>IF(AND(V$5&gt;=$L38,V$5&lt;=$N38),$K38,"")</f>
        <v/>
      </c>
      <c r="W38" s="115">
        <f>IF(AND(W$5&gt;=$L38,W$5&lt;=$N38),$K38,"")</f>
        <v/>
      </c>
      <c r="X38" s="115">
        <f>IF(AND(X$5&gt;=$L38,X$5&lt;=$N38),$K38,"")</f>
        <v/>
      </c>
      <c r="Y38" s="115">
        <f>IF(AND(Y$5&gt;=$L38,Y$5&lt;=$N38),$K38,"")</f>
        <v/>
      </c>
      <c r="Z38" s="115">
        <f>IF(AND(Z$5&gt;=$L38,Z$5&lt;=$N38),$K38,"")</f>
        <v/>
      </c>
      <c r="AA38" s="115">
        <f>IF(AND(AA$5&gt;=$L38,AA$5&lt;=$N38),$K38,"")</f>
        <v/>
      </c>
      <c r="AB38" s="115">
        <f>IF(AND(AB$5&gt;=$L38,AB$5&lt;=$N38),$K38,"")</f>
        <v/>
      </c>
      <c r="AC38" s="115">
        <f>IF(AND(AC$5&gt;=$L38,AC$5&lt;=$N38),$K38,"")</f>
        <v/>
      </c>
      <c r="AD38" s="115">
        <f>IF(AND(AD$5&gt;=$L38,AD$5&lt;=$N38),$K38,"")</f>
        <v/>
      </c>
      <c r="AE38" s="115">
        <f>IF(AND(AE$5&gt;=$L38,AE$5&lt;=$N38),$K38,"")</f>
        <v/>
      </c>
      <c r="AF38" s="115">
        <f>IF(AND(AF$5&gt;=$L38,AF$5&lt;=$N38),$K38,"")</f>
        <v/>
      </c>
      <c r="AG38" s="115">
        <f>IF(AND(AG$5&gt;=$L38,AG$5&lt;=$N38),$K38,"")</f>
        <v/>
      </c>
      <c r="AH38" s="115">
        <f>IF(AND(AH$5&gt;=$L38,AH$5&lt;=$N38),$K38,"")</f>
        <v/>
      </c>
      <c r="AI38" s="115">
        <f>IF(AND(AI$5&gt;=$L38,AI$5&lt;=$N38),$K38,"")</f>
        <v/>
      </c>
      <c r="AJ38" s="115">
        <f>IF(AND(AJ$5&gt;=$L38,AJ$5&lt;=$N38),$K38,"")</f>
        <v/>
      </c>
      <c r="AK38" s="115">
        <f>IF(AND(AK$5&gt;=$L38,AK$5&lt;=$N38),$K38,"")</f>
        <v/>
      </c>
      <c r="AL38" s="115">
        <f>IF(AND(AL$5&gt;=$L38,AL$5&lt;=$N38),$K38,"")</f>
        <v/>
      </c>
      <c r="AM38" s="115">
        <f>IF(AND(AM$5&gt;=$L38,AM$5&lt;=$N38),$K38,"")</f>
        <v/>
      </c>
      <c r="AN38" s="115">
        <f>IF(AND(AN$5&gt;=$L38,AN$5&lt;=$N38),$K38,"")</f>
        <v/>
      </c>
      <c r="AO38" s="115">
        <f>IF(AND(AO$5&gt;=$L38,AO$5&lt;=$N38),$K38,"")</f>
        <v/>
      </c>
      <c r="AP38" s="115">
        <f>IF(AND(AP$5&gt;=$L38,AP$5&lt;=$N38),$K38,"")</f>
        <v/>
      </c>
      <c r="AQ38" s="115">
        <f>IF(AND(AQ$5&gt;=$L38,AQ$5&lt;=$N38),$K38,"")</f>
        <v/>
      </c>
      <c r="AR38" s="115">
        <f>IF(AND(AR$5&gt;=$L38,AR$5&lt;=$N38),$K38,"")</f>
        <v/>
      </c>
      <c r="AS38" s="115">
        <f>IF(AND(AS$5&gt;=$L38,AS$5&lt;=$N38),$K38,"")</f>
        <v/>
      </c>
      <c r="AT38" s="115">
        <f>IF(AND(AT$5&gt;=$L38,AT$5&lt;=$N38),$K38,"")</f>
        <v/>
      </c>
      <c r="AU38" s="115">
        <f>IF(AND(AU$5&gt;=$L38,AU$5&lt;=$N38),$K38,"")</f>
        <v/>
      </c>
      <c r="AV38" s="116">
        <f>IF(AND(AV$5&gt;=$L38,AV$5&lt;=$N38),$K38,"")</f>
        <v/>
      </c>
      <c r="AW38" s="116">
        <f>IF(AND(AW$5&gt;=$L38,AW$5&lt;=$N38),$K38,"")</f>
        <v/>
      </c>
      <c r="AX38" s="116">
        <f>IF(AND(AX$5&gt;=$L38,AX$5&lt;=$N38),$K38,"")</f>
        <v/>
      </c>
      <c r="AY38" s="117">
        <f>IF(AND(AY$5&gt;=$L38,AY$5&lt;=$N38),$K38,"")</f>
        <v/>
      </c>
      <c r="AZ38" s="117">
        <f>IF(AND(AZ$5&gt;=$L38,AZ$5&lt;=$N38),$K38,"")</f>
        <v/>
      </c>
      <c r="BA38" s="117">
        <f>IF(AND(BA$5&gt;=$L38,BA$5&lt;=$N38),$K38,"")</f>
        <v/>
      </c>
      <c r="BB38" s="117">
        <f>IF(AND(BB$5&gt;=$L38,BB$5&lt;=$N38),$K38,"")</f>
        <v/>
      </c>
      <c r="BC38" s="117">
        <f>IF(AND(BC$5&gt;=$L38,BC$5&lt;=$N38),$K38,"")</f>
        <v/>
      </c>
      <c r="BD38" s="117">
        <f>IF(AND(BD$5&gt;=$L38,BD$5&lt;=$N38),$K38,"")</f>
        <v/>
      </c>
      <c r="BE38" s="117">
        <f>IF(AND(BE$5&gt;=$L38,BE$5&lt;=$N38),$K38,"")</f>
        <v/>
      </c>
      <c r="BF38" s="117">
        <f>IF(AND(BF$5&gt;=$L38,BF$5&lt;=$N38),$K38,"")</f>
        <v/>
      </c>
      <c r="BG38" s="118">
        <f>IF(AND(BG$5&gt;=$L38,BG$5&lt;=$N38),$K38,"")</f>
        <v/>
      </c>
      <c r="BH38" s="135">
        <f>IF(AND(BH$5&gt;=$L38,BH$5&lt;=$N38),$K38,"")</f>
        <v/>
      </c>
      <c r="BI38" s="118">
        <f>IF(AND(BI$5&gt;=$L38,BI$5&lt;=$N38),$K38,"")</f>
        <v/>
      </c>
      <c r="BJ38" s="118">
        <f>IF(AND(BJ$5&gt;=$L38,BJ$5&lt;=$N38),$K38,"")</f>
        <v/>
      </c>
      <c r="BK38" s="118">
        <f>IF(AND(BK$5&gt;=$L38,BK$5&lt;=$N38),$K38,"")</f>
        <v/>
      </c>
      <c r="BL38" s="118">
        <f>IF(AND(BL$5&gt;=$L38,BL$5&lt;=$N38),$K38,"")</f>
        <v/>
      </c>
      <c r="BM38" s="118">
        <f>IF(AND(BM$5&gt;=$L38,BM$5&lt;=$N38),$K38,"")</f>
        <v/>
      </c>
      <c r="BN38" s="118">
        <f>IF(AND(BN$5&gt;=$L38,BN$5&lt;=$N38),$K38,"")</f>
        <v/>
      </c>
      <c r="BO38" s="118">
        <f>IF(AND(BO$5&gt;=$L38,BO$5&lt;=$N38),$K38,"")</f>
        <v/>
      </c>
      <c r="BP38" s="118">
        <f>IF(AND(BP$5&gt;=$L38,BP$5&lt;=$N38),$K38,"")</f>
        <v/>
      </c>
      <c r="BQ38" s="118">
        <f>IF(AND(BQ$5&gt;=$L38,BQ$5&lt;=$N38),$K38,"")</f>
        <v/>
      </c>
      <c r="BR38" s="118">
        <f>IF(AND(BR$5&gt;=$L38,BR$5&lt;=$N38),$K38,"")</f>
        <v/>
      </c>
      <c r="BS38" s="118">
        <f>IF(AND(BS$5&gt;=$L38,BS$5&lt;=$N38),$K38,"")</f>
        <v/>
      </c>
      <c r="BT38" s="118">
        <f>IF(AND(BT$5&gt;=$L38,BT$5&lt;=$N38),$K38,"")</f>
        <v/>
      </c>
      <c r="BU38" s="118">
        <f>IF(AND(BU$5&gt;=$L38,BU$5&lt;=$N38),$K38,"")</f>
        <v/>
      </c>
      <c r="BV38" s="118">
        <f>IF(AND(BV$5&gt;=$L38,BV$5&lt;=$N38),$K38,"")</f>
        <v/>
      </c>
      <c r="BW38" s="118">
        <f>IF(AND(BW$5&gt;=$L38,BW$5&lt;=$N38),$K38,"")</f>
        <v/>
      </c>
      <c r="BX38" s="118">
        <f>IF(AND(BX$5&gt;=$L38,BX$5&lt;=$N38),$K38,"")</f>
        <v/>
      </c>
      <c r="BY38" s="123">
        <f>IF(AND(BY$5&gt;=$L38,BY$5&lt;=$N38),$K38,"")</f>
        <v/>
      </c>
      <c r="BZ38" s="123">
        <f>IF(AND(BZ$5&gt;=$L38,BZ$5&lt;=$N38),$K38,"")</f>
        <v/>
      </c>
      <c r="CA38" s="128" t="n"/>
      <c r="CB38" s="128" t="n"/>
      <c r="CC38" s="128" t="n"/>
      <c r="CD38" s="128" t="n"/>
      <c r="CE38" s="128" t="n"/>
      <c r="CF38" s="128" t="n"/>
      <c r="CG38" s="128" t="n"/>
      <c r="CH38" s="128" t="n"/>
    </row>
    <row r="39" s="74">
      <c r="A39" s="113" t="n"/>
      <c r="B39" s="106" t="n">
        <v>33</v>
      </c>
      <c r="C39" s="126" t="inlineStr">
        <is>
          <t>Монтаж КУ-1 РВС 13.1- №13.6</t>
        </is>
      </c>
      <c r="D39" s="113" t="n"/>
      <c r="E39" s="120" t="n"/>
      <c r="F39" s="121" t="n"/>
      <c r="G39" s="121" t="n"/>
      <c r="H39" s="121" t="n"/>
      <c r="I39" s="121" t="n"/>
      <c r="J39" s="121" t="n"/>
      <c r="K39" s="113" t="n"/>
      <c r="L39" s="114" t="n">
        <v>46308</v>
      </c>
      <c r="M39" s="122" t="n">
        <v>1</v>
      </c>
      <c r="N39" s="114">
        <f>L39+M39-1</f>
        <v/>
      </c>
      <c r="O39" s="115">
        <f>IF(AND(O$5&gt;=$L39,O$5&lt;=$N39),$K39,"")</f>
        <v/>
      </c>
      <c r="P39" s="115">
        <f>IF(AND(P$5&gt;=$L39,P$5&lt;=$N39),$K39,"")</f>
        <v/>
      </c>
      <c r="Q39" s="115">
        <f>IF(AND(Q$5&gt;=$L39,Q$5&lt;=$N39),$K39,"")</f>
        <v/>
      </c>
      <c r="R39" s="115">
        <f>IF(AND(R$5&gt;=$L39,R$5&lt;=$N39),$K39,"")</f>
        <v/>
      </c>
      <c r="S39" s="115">
        <f>IF(AND(S$5&gt;=$L39,S$5&lt;=$N39),$K39,"")</f>
        <v/>
      </c>
      <c r="T39" s="115">
        <f>IF(AND(T$5&gt;=$L39,T$5&lt;=$N39),$K39,"")</f>
        <v/>
      </c>
      <c r="U39" s="115">
        <f>IF(AND(U$5&gt;=$L39,U$5&lt;=$N39),$K39,"")</f>
        <v/>
      </c>
      <c r="V39" s="115">
        <f>IF(AND(V$5&gt;=$L39,V$5&lt;=$N39),$K39,"")</f>
        <v/>
      </c>
      <c r="W39" s="115">
        <f>IF(AND(W$5&gt;=$L39,W$5&lt;=$N39),$K39,"")</f>
        <v/>
      </c>
      <c r="X39" s="115">
        <f>IF(AND(X$5&gt;=$L39,X$5&lt;=$N39),$K39,"")</f>
        <v/>
      </c>
      <c r="Y39" s="115">
        <f>IF(AND(Y$5&gt;=$L39,Y$5&lt;=$N39),$K39,"")</f>
        <v/>
      </c>
      <c r="Z39" s="115">
        <f>IF(AND(Z$5&gt;=$L39,Z$5&lt;=$N39),$K39,"")</f>
        <v/>
      </c>
      <c r="AA39" s="115">
        <f>IF(AND(AA$5&gt;=$L39,AA$5&lt;=$N39),$K39,"")</f>
        <v/>
      </c>
      <c r="AB39" s="115">
        <f>IF(AND(AB$5&gt;=$L39,AB$5&lt;=$N39),$K39,"")</f>
        <v/>
      </c>
      <c r="AC39" s="115">
        <f>IF(AND(AC$5&gt;=$L39,AC$5&lt;=$N39),$K39,"")</f>
        <v/>
      </c>
      <c r="AD39" s="115">
        <f>IF(AND(AD$5&gt;=$L39,AD$5&lt;=$N39),$K39,"")</f>
        <v/>
      </c>
      <c r="AE39" s="115">
        <f>IF(AND(AE$5&gt;=$L39,AE$5&lt;=$N39),$K39,"")</f>
        <v/>
      </c>
      <c r="AF39" s="115">
        <f>IF(AND(AF$5&gt;=$L39,AF$5&lt;=$N39),$K39,"")</f>
        <v/>
      </c>
      <c r="AG39" s="115">
        <f>IF(AND(AG$5&gt;=$L39,AG$5&lt;=$N39),$K39,"")</f>
        <v/>
      </c>
      <c r="AH39" s="115">
        <f>IF(AND(AH$5&gt;=$L39,AH$5&lt;=$N39),$K39,"")</f>
        <v/>
      </c>
      <c r="AI39" s="115">
        <f>IF(AND(AI$5&gt;=$L39,AI$5&lt;=$N39),$K39,"")</f>
        <v/>
      </c>
      <c r="AJ39" s="115">
        <f>IF(AND(AJ$5&gt;=$L39,AJ$5&lt;=$N39),$K39,"")</f>
        <v/>
      </c>
      <c r="AK39" s="115">
        <f>IF(AND(AK$5&gt;=$L39,AK$5&lt;=$N39),$K39,"")</f>
        <v/>
      </c>
      <c r="AL39" s="115">
        <f>IF(AND(AL$5&gt;=$L39,AL$5&lt;=$N39),$K39,"")</f>
        <v/>
      </c>
      <c r="AM39" s="115">
        <f>IF(AND(AM$5&gt;=$L39,AM$5&lt;=$N39),$K39,"")</f>
        <v/>
      </c>
      <c r="AN39" s="115">
        <f>IF(AND(AN$5&gt;=$L39,AN$5&lt;=$N39),$K39,"")</f>
        <v/>
      </c>
      <c r="AO39" s="115">
        <f>IF(AND(AO$5&gt;=$L39,AO$5&lt;=$N39),$K39,"")</f>
        <v/>
      </c>
      <c r="AP39" s="115">
        <f>IF(AND(AP$5&gt;=$L39,AP$5&lt;=$N39),$K39,"")</f>
        <v/>
      </c>
      <c r="AQ39" s="115">
        <f>IF(AND(AQ$5&gt;=$L39,AQ$5&lt;=$N39),$K39,"")</f>
        <v/>
      </c>
      <c r="AR39" s="115">
        <f>IF(AND(AR$5&gt;=$L39,AR$5&lt;=$N39),$K39,"")</f>
        <v/>
      </c>
      <c r="AS39" s="115">
        <f>IF(AND(AS$5&gt;=$L39,AS$5&lt;=$N39),$K39,"")</f>
        <v/>
      </c>
      <c r="AT39" s="115">
        <f>IF(AND(AT$5&gt;=$L39,AT$5&lt;=$N39),$K39,"")</f>
        <v/>
      </c>
      <c r="AU39" s="115">
        <f>IF(AND(AU$5&gt;=$L39,AU$5&lt;=$N39),$K39,"")</f>
        <v/>
      </c>
      <c r="AV39" s="116">
        <f>IF(AND(AV$5&gt;=$L39,AV$5&lt;=$N39),$K39,"")</f>
        <v/>
      </c>
      <c r="AW39" s="116">
        <f>IF(AND(AW$5&gt;=$L39,AW$5&lt;=$N39),$K39,"")</f>
        <v/>
      </c>
      <c r="AX39" s="116">
        <f>IF(AND(AX$5&gt;=$L39,AX$5&lt;=$N39),$K39,"")</f>
        <v/>
      </c>
      <c r="AY39" s="117">
        <f>IF(AND(AY$5&gt;=$L39,AY$5&lt;=$N39),$K39,"")</f>
        <v/>
      </c>
      <c r="AZ39" s="117">
        <f>IF(AND(AZ$5&gt;=$L39,AZ$5&lt;=$N39),$K39,"")</f>
        <v/>
      </c>
      <c r="BA39" s="117">
        <f>IF(AND(BA$5&gt;=$L39,BA$5&lt;=$N39),$K39,"")</f>
        <v/>
      </c>
      <c r="BB39" s="117">
        <f>IF(AND(BB$5&gt;=$L39,BB$5&lt;=$N39),$K39,"")</f>
        <v/>
      </c>
      <c r="BC39" s="117">
        <f>IF(AND(BC$5&gt;=$L39,BC$5&lt;=$N39),$K39,"")</f>
        <v/>
      </c>
      <c r="BD39" s="117">
        <f>IF(AND(BD$5&gt;=$L39,BD$5&lt;=$N39),$K39,"")</f>
        <v/>
      </c>
      <c r="BE39" s="117">
        <f>IF(AND(BE$5&gt;=$L39,BE$5&lt;=$N39),$K39,"")</f>
        <v/>
      </c>
      <c r="BF39" s="117">
        <f>IF(AND(BF$5&gt;=$L39,BF$5&lt;=$N39),$K39,"")</f>
        <v/>
      </c>
      <c r="BG39" s="118">
        <f>IF(AND(BG$5&gt;=$L39,BG$5&lt;=$N39),$K39,"")</f>
        <v/>
      </c>
      <c r="BH39" s="118">
        <f>IF(AND(BH$5&gt;=$L39,BH$5&lt;=$N39),$K39,"")</f>
        <v/>
      </c>
      <c r="BI39" s="118">
        <f>IF(AND(BI$5&gt;=$L39,BI$5&lt;=$N39),$K39,"")</f>
        <v/>
      </c>
      <c r="BJ39" s="118">
        <f>IF(AND(BJ$5&gt;=$L39,BJ$5&lt;=$N39),$K39,"")</f>
        <v/>
      </c>
      <c r="BK39" s="118">
        <f>IF(AND(BK$5&gt;=$L39,BK$5&lt;=$N39),$K39,"")</f>
        <v/>
      </c>
      <c r="BL39" s="118">
        <f>IF(AND(BL$5&gt;=$L39,BL$5&lt;=$N39),$K39,"")</f>
        <v/>
      </c>
      <c r="BM39" s="118">
        <f>IF(AND(BM$5&gt;=$L39,BM$5&lt;=$N39),$K39,"")</f>
        <v/>
      </c>
      <c r="BN39" s="118">
        <f>IF(AND(BN$5&gt;=$L39,BN$5&lt;=$N39),$K39,"")</f>
        <v/>
      </c>
      <c r="BO39" s="118">
        <f>IF(AND(BO$5&gt;=$L39,BO$5&lt;=$N39),$K39,"")</f>
        <v/>
      </c>
      <c r="BP39" s="118">
        <f>IF(AND(BP$5&gt;=$L39,BP$5&lt;=$N39),$K39,"")</f>
        <v/>
      </c>
      <c r="BQ39" s="118">
        <f>IF(AND(BQ$5&gt;=$L39,BQ$5&lt;=$N39),$K39,"")</f>
        <v/>
      </c>
      <c r="BR39" s="118">
        <f>IF(AND(BR$5&gt;=$L39,BR$5&lt;=$N39),$K39,"")</f>
        <v/>
      </c>
      <c r="BS39" s="118">
        <f>IF(AND(BS$5&gt;=$L39,BS$5&lt;=$N39),$K39,"")</f>
        <v/>
      </c>
      <c r="BT39" s="118">
        <f>IF(AND(BT$5&gt;=$L39,BT$5&lt;=$N39),$K39,"")</f>
        <v/>
      </c>
      <c r="BU39" s="118">
        <f>IF(AND(BU$5&gt;=$L39,BU$5&lt;=$N39),$K39,"")</f>
        <v/>
      </c>
      <c r="BV39" s="118">
        <f>IF(AND(BV$5&gt;=$L39,BV$5&lt;=$N39),$K39,"")</f>
        <v/>
      </c>
      <c r="BW39" s="118">
        <f>IF(AND(BW$5&gt;=$L39,BW$5&lt;=$N39),$K39,"")</f>
        <v/>
      </c>
      <c r="BX39" s="118">
        <f>IF(AND(BX$5&gt;=$L39,BX$5&lt;=$N39),$K39,"")</f>
        <v/>
      </c>
      <c r="BY39" s="118">
        <f>IF(AND(BY$5&gt;=$L39,BY$5&lt;=$N39),$K39,"")</f>
        <v/>
      </c>
      <c r="BZ39" s="118">
        <f>IF(AND(BZ$5&gt;=$L39,BZ$5&lt;=$N39),$K39,"")</f>
        <v/>
      </c>
    </row>
    <row r="40" s="74">
      <c r="B40" s="136" t="n"/>
      <c r="C40" s="137" t="n"/>
      <c r="D40" s="98" t="n"/>
      <c r="E40" s="98" t="n"/>
      <c r="F40" s="98" t="n"/>
      <c r="G40" s="98" t="n"/>
      <c r="H40" s="98" t="n"/>
      <c r="I40" s="98" t="n"/>
      <c r="J40" s="98" t="n"/>
      <c r="K40" s="98" t="n"/>
      <c r="L40" s="98" t="n"/>
      <c r="M40" s="98" t="n"/>
      <c r="N40" s="98" t="n"/>
      <c r="O40" s="98" t="n"/>
      <c r="P40" s="98" t="n"/>
      <c r="Q40" s="98" t="n"/>
      <c r="R40" s="98" t="n"/>
      <c r="S40" s="98" t="n"/>
      <c r="T40" s="98" t="n"/>
      <c r="U40" s="98" t="n"/>
      <c r="V40" s="98" t="n"/>
      <c r="W40" s="98" t="n"/>
      <c r="X40" s="98" t="n"/>
      <c r="Y40" s="98" t="n"/>
      <c r="Z40" s="98" t="n"/>
      <c r="AA40" s="98" t="n"/>
      <c r="AB40" s="98" t="n"/>
      <c r="AC40" s="98" t="n"/>
      <c r="AD40" s="98" t="n"/>
      <c r="AE40" s="98" t="n"/>
      <c r="AF40" s="98" t="n"/>
      <c r="AG40" s="98" t="n"/>
      <c r="AH40" s="98" t="n"/>
      <c r="AI40" s="98" t="n"/>
      <c r="AJ40" s="98" t="n"/>
      <c r="AK40" s="98" t="n"/>
      <c r="AL40" s="98" t="n"/>
      <c r="AM40" s="98" t="n"/>
      <c r="AN40" s="98" t="n"/>
      <c r="AO40" s="98" t="n"/>
      <c r="AP40" s="98" t="n"/>
      <c r="AQ40" s="98" t="n"/>
      <c r="AR40" s="98" t="n"/>
      <c r="AS40" s="98" t="n"/>
      <c r="AT40" s="98" t="n"/>
      <c r="AU40" s="98" t="n"/>
      <c r="AV40" s="98" t="n"/>
      <c r="AW40" s="98" t="n"/>
      <c r="AX40" s="98" t="n"/>
      <c r="AY40" s="73" t="n"/>
      <c r="AZ40" s="73" t="n"/>
      <c r="BA40" s="73" t="n"/>
      <c r="BB40" s="73" t="n"/>
      <c r="BC40" s="73" t="n"/>
      <c r="BD40" s="73" t="n"/>
      <c r="BE40" s="73" t="n"/>
      <c r="BF40" s="73" t="n"/>
      <c r="BG40" s="73" t="n"/>
      <c r="BH40" s="73" t="n"/>
      <c r="BI40" s="73" t="n"/>
      <c r="BJ40" s="73" t="n"/>
      <c r="BK40" s="73" t="n"/>
      <c r="BL40" s="73" t="n"/>
      <c r="BM40" s="73" t="n"/>
      <c r="BN40" s="73" t="n"/>
      <c r="BO40" s="73" t="n"/>
      <c r="BP40" s="73" t="n"/>
      <c r="BQ40" s="73" t="n"/>
      <c r="BR40" s="73" t="n"/>
      <c r="BS40" s="73" t="n"/>
      <c r="BT40" s="73" t="n"/>
      <c r="BU40" s="73" t="n"/>
      <c r="BV40" s="73" t="n"/>
      <c r="BW40" s="73" t="n"/>
      <c r="BX40" s="73" t="n"/>
    </row>
    <row r="41" s="74">
      <c r="B41" s="136" t="n"/>
      <c r="C41" s="98" t="inlineStr">
        <is>
          <t>Директор ООО "СК "ПРОМНИЖСТРОЙ"</t>
        </is>
      </c>
      <c r="D41" s="98" t="inlineStr">
        <is>
          <t>«____»______________20</t>
        </is>
      </c>
      <c r="E41" s="98" t="n"/>
      <c r="F41" s="98" t="n"/>
      <c r="G41" s="98" t="n"/>
      <c r="H41" s="98" t="n"/>
      <c r="I41" s="98" t="n"/>
      <c r="J41" s="98" t="n"/>
      <c r="K41" s="98" t="n"/>
      <c r="L41" s="98" t="n"/>
      <c r="M41" s="98" t="n"/>
      <c r="N41" s="98" t="n"/>
      <c r="O41" s="98" t="n"/>
      <c r="P41" s="98" t="n"/>
      <c r="Q41" s="98" t="n"/>
      <c r="R41" s="98" t="n"/>
      <c r="S41" s="98" t="n"/>
      <c r="T41" s="98" t="n"/>
      <c r="U41" s="98" t="n"/>
      <c r="V41" s="98" t="n"/>
      <c r="W41" s="98" t="n"/>
      <c r="X41" s="98" t="n"/>
      <c r="Y41" s="98" t="n"/>
      <c r="Z41" s="98" t="n"/>
      <c r="AA41" s="98" t="n"/>
      <c r="AB41" s="98" t="n"/>
      <c r="AC41" s="98" t="n"/>
      <c r="AD41" s="98" t="n"/>
      <c r="AE41" s="98" t="n"/>
      <c r="AF41" s="98" t="n"/>
      <c r="AG41" s="98" t="n"/>
      <c r="AH41" s="98" t="n"/>
      <c r="AI41" s="98" t="n"/>
      <c r="AJ41" s="98" t="n"/>
      <c r="AK41" s="98" t="n"/>
      <c r="AL41" s="98" t="n"/>
      <c r="AM41" s="98" t="n"/>
      <c r="AN41" s="98" t="n"/>
      <c r="AO41" s="98" t="n"/>
      <c r="AP41" s="98" t="n"/>
      <c r="AQ41" s="98" t="n"/>
      <c r="AR41" s="98" t="n"/>
      <c r="AS41" s="98" t="n"/>
      <c r="AT41" s="98" t="n"/>
      <c r="AU41" s="98" t="n"/>
      <c r="AV41" s="98" t="n"/>
      <c r="AW41" s="98" t="n"/>
      <c r="AX41" s="98" t="n"/>
      <c r="AY41" s="73" t="n"/>
      <c r="AZ41" s="73" t="n"/>
      <c r="BA41" s="73" t="n"/>
      <c r="BB41" s="73" t="n"/>
      <c r="BC41" s="73" t="n"/>
      <c r="BD41" s="73" t="n"/>
      <c r="BE41" s="73" t="n"/>
      <c r="BF41" s="73" t="n"/>
      <c r="BG41" s="73" t="n"/>
      <c r="BH41" s="73" t="n"/>
      <c r="BI41" s="73" t="n"/>
      <c r="BJ41" s="73" t="n"/>
      <c r="BK41" s="73" t="n"/>
      <c r="BL41" s="73" t="n"/>
      <c r="BM41" s="73" t="n"/>
      <c r="BN41" s="73" t="n"/>
      <c r="BO41" s="73" t="n"/>
      <c r="BP41" s="73" t="n"/>
      <c r="BQ41" s="73" t="n"/>
      <c r="BR41" s="73" t="n"/>
      <c r="BS41" s="73" t="n"/>
      <c r="BT41" s="73" t="n"/>
      <c r="BU41" s="73" t="n"/>
      <c r="BV41" s="73" t="n"/>
      <c r="BW41" s="73" t="n"/>
      <c r="BX41" s="73" t="n"/>
    </row>
    <row r="42" s="74">
      <c r="B42" s="136" t="n"/>
      <c r="C42" s="98" t="inlineStr">
        <is>
          <t>_________________________ Медведев А. А.</t>
        </is>
      </c>
      <c r="D42" s="98" t="n"/>
      <c r="E42" s="98" t="n"/>
      <c r="F42" s="98" t="n"/>
      <c r="G42" s="98" t="n"/>
      <c r="H42" s="98" t="n"/>
      <c r="I42" s="98" t="n"/>
      <c r="J42" s="98" t="n"/>
      <c r="K42" s="98" t="n"/>
      <c r="L42" s="98" t="n"/>
      <c r="M42" s="98" t="n"/>
      <c r="N42" s="98" t="n"/>
      <c r="O42" s="98" t="n"/>
      <c r="P42" s="98" t="n"/>
      <c r="Q42" s="98" t="n"/>
      <c r="R42" s="98" t="n"/>
      <c r="S42" s="98" t="n"/>
      <c r="T42" s="98" t="n"/>
      <c r="U42" s="98" t="n"/>
      <c r="V42" s="98" t="n"/>
      <c r="W42" s="98" t="n"/>
      <c r="X42" s="98" t="n"/>
      <c r="Y42" s="98" t="n"/>
      <c r="Z42" s="98" t="n"/>
      <c r="AA42" s="98" t="n"/>
      <c r="AB42" s="98" t="n"/>
      <c r="AC42" s="98" t="n"/>
      <c r="AD42" s="98" t="n"/>
      <c r="AE42" s="98" t="n"/>
      <c r="AF42" s="98" t="n"/>
      <c r="AG42" s="98" t="n"/>
      <c r="AH42" s="98" t="n"/>
      <c r="AI42" s="98" t="n"/>
      <c r="AJ42" s="98" t="n"/>
      <c r="AK42" s="98" t="n"/>
      <c r="AL42" s="98" t="n"/>
      <c r="AM42" s="98" t="n"/>
      <c r="AN42" s="98" t="n"/>
      <c r="AO42" s="98" t="n"/>
      <c r="AP42" s="98" t="n"/>
      <c r="AQ42" s="98" t="n"/>
      <c r="AR42" s="98" t="n"/>
      <c r="AS42" s="98" t="n"/>
      <c r="AT42" s="98" t="n"/>
      <c r="AU42" s="98" t="n"/>
      <c r="AV42" s="98" t="n"/>
      <c r="AW42" s="98" t="n"/>
      <c r="AX42" s="98" t="n"/>
      <c r="AY42" s="73" t="n"/>
      <c r="AZ42" s="73" t="n"/>
      <c r="BA42" s="73" t="n"/>
      <c r="BB42" s="73" t="n"/>
      <c r="BC42" s="73" t="n"/>
      <c r="BD42" s="73" t="n"/>
      <c r="BE42" s="73" t="n"/>
      <c r="BF42" s="73" t="n"/>
      <c r="BG42" s="73" t="n"/>
      <c r="BH42" s="73" t="n"/>
      <c r="BI42" s="73" t="n"/>
      <c r="BJ42" s="73" t="n"/>
      <c r="BK42" s="73" t="n"/>
      <c r="BL42" s="73" t="n"/>
      <c r="BM42" s="73" t="n"/>
      <c r="BN42" s="73" t="n"/>
      <c r="BO42" s="73" t="n"/>
      <c r="BP42" s="73" t="n"/>
      <c r="BQ42" s="73" t="n"/>
      <c r="BR42" s="73" t="n"/>
      <c r="BS42" s="73" t="n"/>
      <c r="BT42" s="73" t="n"/>
      <c r="BU42" s="73" t="n"/>
      <c r="BV42" s="73" t="n"/>
      <c r="BW42" s="73" t="n"/>
      <c r="BX42" s="73" t="n"/>
    </row>
    <row r="43" s="74">
      <c r="C43" s="98" t="inlineStr">
        <is>
          <t>«____»______________2026 г.</t>
        </is>
      </c>
      <c r="L43" s="95" t="n"/>
      <c r="M43" s="95" t="n"/>
      <c r="N43" s="95" t="n"/>
      <c r="O43" s="95" t="n"/>
      <c r="P43" s="95" t="n"/>
      <c r="Q43" s="95" t="n"/>
      <c r="R43" s="95" t="n"/>
      <c r="S43" s="95" t="n"/>
      <c r="T43" s="95" t="n"/>
      <c r="U43" s="95" t="n"/>
      <c r="V43" s="95" t="n"/>
      <c r="W43" s="95" t="n"/>
      <c r="X43" s="95" t="n"/>
      <c r="Y43" s="95" t="n"/>
      <c r="Z43" s="95" t="n"/>
      <c r="AA43" s="95" t="n"/>
      <c r="AB43" s="95" t="n"/>
      <c r="AC43" s="95" t="n"/>
      <c r="AD43" s="95" t="n"/>
      <c r="AE43" s="95" t="n"/>
      <c r="AF43" s="95" t="n"/>
      <c r="AG43" s="95" t="n"/>
      <c r="AH43" s="95" t="n"/>
      <c r="AI43" s="95" t="n"/>
      <c r="AJ43" s="95" t="n"/>
      <c r="AK43" s="95" t="n"/>
      <c r="AL43" s="95" t="n"/>
      <c r="AM43" s="95" t="n"/>
      <c r="AN43" s="95" t="n"/>
      <c r="AO43" s="95" t="n"/>
      <c r="AP43" s="95" t="n"/>
      <c r="AQ43" s="73" t="n"/>
      <c r="AR43" s="73" t="n"/>
      <c r="AS43" s="73" t="n"/>
      <c r="AT43" s="73" t="n"/>
      <c r="AU43" s="73" t="n"/>
      <c r="AV43" s="73" t="n"/>
      <c r="AW43" s="73" t="n"/>
      <c r="AX43" s="73" t="n"/>
      <c r="AY43" s="73" t="n"/>
      <c r="AZ43" s="73" t="n"/>
      <c r="BA43" s="73" t="n"/>
      <c r="BB43" s="73" t="n"/>
      <c r="BC43" s="73" t="n"/>
      <c r="BD43" s="73" t="n"/>
      <c r="BE43" s="73" t="n"/>
      <c r="BF43" s="73" t="n"/>
      <c r="BG43" s="73" t="n"/>
      <c r="BH43" s="73" t="n"/>
      <c r="BI43" s="73" t="n"/>
      <c r="BJ43" s="73" t="n"/>
      <c r="BK43" s="73" t="n"/>
      <c r="BL43" s="73" t="n"/>
      <c r="BM43" s="73" t="n"/>
      <c r="BN43" s="73" t="n"/>
      <c r="BO43" s="73" t="n"/>
      <c r="BP43" s="73" t="n"/>
      <c r="BQ43" s="73" t="n"/>
      <c r="BR43" s="73" t="n"/>
      <c r="BS43" s="73" t="n"/>
      <c r="BT43" s="73" t="n"/>
      <c r="BU43" s="73" t="n"/>
      <c r="BV43" s="73" t="n"/>
      <c r="BW43" s="73" t="n"/>
      <c r="BX43" s="73" t="n"/>
    </row>
    <row r="44" s="74">
      <c r="C44" s="98" t="n"/>
      <c r="L44" s="95" t="n"/>
      <c r="M44" s="95" t="n"/>
      <c r="N44" s="95" t="n"/>
      <c r="O44" s="95" t="n"/>
      <c r="P44" s="95" t="n"/>
      <c r="Q44" s="95" t="n"/>
      <c r="R44" s="95" t="n"/>
      <c r="S44" s="95" t="n"/>
      <c r="T44" s="95" t="n"/>
      <c r="U44" s="95" t="n"/>
      <c r="V44" s="95" t="n"/>
      <c r="W44" s="95" t="n"/>
      <c r="X44" s="95" t="n"/>
      <c r="Y44" s="95" t="n"/>
      <c r="Z44" s="95" t="n"/>
      <c r="AA44" s="95" t="n"/>
      <c r="AB44" s="95" t="n"/>
      <c r="AC44" s="95" t="n"/>
      <c r="AD44" s="95" t="n"/>
      <c r="AE44" s="95" t="n"/>
      <c r="AF44" s="95" t="n"/>
      <c r="AG44" s="95" t="n"/>
      <c r="AH44" s="95" t="n"/>
      <c r="AI44" s="95" t="n"/>
      <c r="AJ44" s="95" t="n"/>
      <c r="AK44" s="95" t="n"/>
      <c r="AL44" s="95" t="n"/>
      <c r="AM44" s="95" t="n"/>
      <c r="AN44" s="95" t="n"/>
      <c r="AO44" s="95" t="n"/>
      <c r="AP44" s="95" t="n"/>
      <c r="AQ44" s="73" t="n"/>
      <c r="AR44" s="73" t="n"/>
      <c r="AS44" s="73" t="n"/>
      <c r="AT44" s="73" t="n"/>
      <c r="AU44" s="73" t="n"/>
      <c r="AV44" s="73" t="n"/>
      <c r="AW44" s="73" t="n"/>
      <c r="AX44" s="73" t="n"/>
      <c r="AY44" s="73" t="n"/>
      <c r="AZ44" s="73" t="n"/>
      <c r="BA44" s="73" t="n"/>
      <c r="BB44" s="73" t="n"/>
      <c r="BC44" s="73" t="n"/>
      <c r="BD44" s="73" t="n"/>
      <c r="BE44" s="73" t="n"/>
      <c r="BF44" s="73" t="n"/>
      <c r="BG44" s="73" t="n"/>
      <c r="BH44" s="73" t="n"/>
      <c r="BI44" s="73" t="n"/>
      <c r="BJ44" s="73" t="n"/>
      <c r="BK44" s="73" t="n"/>
      <c r="BL44" s="73" t="n"/>
      <c r="BM44" s="73" t="n"/>
      <c r="BN44" s="73" t="n"/>
      <c r="BO44" s="73" t="n"/>
      <c r="BP44" s="73" t="n"/>
      <c r="BQ44" s="73" t="n"/>
      <c r="BR44" s="73" t="n"/>
      <c r="BS44" s="73" t="n"/>
      <c r="BT44" s="73" t="n"/>
      <c r="BU44" s="73" t="n"/>
      <c r="BV44" s="73" t="n"/>
      <c r="BW44" s="73" t="n"/>
      <c r="BX44" s="73" t="n"/>
    </row>
    <row r="45" s="74">
      <c r="L45" s="95" t="n"/>
      <c r="M45" s="95" t="n"/>
      <c r="N45" s="95" t="n"/>
      <c r="O45" s="95" t="n"/>
      <c r="P45" s="95" t="n"/>
      <c r="Q45" s="95" t="n"/>
      <c r="R45" s="95" t="n"/>
      <c r="S45" s="95" t="n"/>
      <c r="T45" s="95" t="n"/>
      <c r="U45" s="95" t="n"/>
      <c r="V45" s="95" t="n"/>
      <c r="W45" s="95" t="n"/>
      <c r="X45" s="95" t="n"/>
      <c r="Y45" s="95" t="n"/>
      <c r="Z45" s="95" t="n"/>
      <c r="AA45" s="95" t="n"/>
      <c r="AB45" s="95" t="n"/>
      <c r="AC45" s="95" t="n"/>
      <c r="AD45" s="95" t="n"/>
      <c r="AE45" s="95" t="n"/>
      <c r="AF45" s="95" t="n"/>
      <c r="AG45" s="95" t="n"/>
      <c r="AH45" s="95" t="n"/>
      <c r="AI45" s="95" t="n"/>
      <c r="AJ45" s="95" t="n"/>
      <c r="AK45" s="95" t="n"/>
      <c r="AL45" s="95" t="n"/>
      <c r="AM45" s="95" t="n"/>
      <c r="AN45" s="95" t="n"/>
      <c r="AO45" s="95" t="n"/>
      <c r="AP45" s="95" t="n"/>
      <c r="AQ45" s="73" t="n"/>
      <c r="AR45" s="73" t="n"/>
      <c r="AS45" s="73" t="n"/>
      <c r="AT45" s="73" t="n"/>
      <c r="AU45" s="73" t="n"/>
      <c r="AV45" s="73" t="n"/>
      <c r="AW45" s="73" t="n"/>
      <c r="AX45" s="73" t="n"/>
      <c r="AY45" s="73" t="n"/>
      <c r="AZ45" s="73" t="n"/>
      <c r="BA45" s="73" t="n"/>
      <c r="BB45" s="73" t="n"/>
      <c r="BC45" s="73" t="n"/>
      <c r="BD45" s="73" t="n"/>
      <c r="BE45" s="73" t="n"/>
      <c r="BF45" s="73" t="n"/>
      <c r="BG45" s="73" t="n"/>
      <c r="BH45" s="73" t="n"/>
      <c r="BI45" s="73" t="n"/>
      <c r="BJ45" s="73" t="n"/>
      <c r="BK45" s="73" t="n"/>
      <c r="BL45" s="73" t="n"/>
      <c r="BM45" s="73" t="n"/>
      <c r="BN45" s="73" t="n"/>
      <c r="BO45" s="73" t="n"/>
      <c r="BP45" s="73" t="n"/>
      <c r="BQ45" s="73" t="n"/>
      <c r="BR45" s="73" t="n"/>
      <c r="BS45" s="73" t="n"/>
      <c r="BT45" s="73" t="n"/>
      <c r="BU45" s="73" t="n"/>
      <c r="BV45" s="73" t="n"/>
      <c r="BW45" s="73" t="n"/>
      <c r="BX45" s="73" t="n"/>
    </row>
    <row r="46" s="74">
      <c r="L46" s="95" t="n"/>
      <c r="M46" s="95" t="n"/>
      <c r="N46" s="95" t="n"/>
      <c r="O46" s="95" t="n"/>
      <c r="P46" s="95" t="n"/>
      <c r="Q46" s="95" t="n"/>
      <c r="R46" s="95" t="n"/>
      <c r="S46" s="95" t="n"/>
      <c r="T46" s="95" t="n"/>
      <c r="U46" s="95" t="n"/>
      <c r="V46" s="95" t="n"/>
      <c r="W46" s="95" t="n"/>
      <c r="X46" s="95" t="n"/>
      <c r="Y46" s="95" t="n"/>
      <c r="Z46" s="95" t="n"/>
      <c r="AA46" s="95" t="n"/>
      <c r="AB46" s="95" t="n"/>
      <c r="AC46" s="95" t="n"/>
      <c r="AD46" s="95" t="n"/>
      <c r="AE46" s="95" t="n"/>
      <c r="AF46" s="95" t="n"/>
      <c r="AG46" s="95" t="n"/>
      <c r="AH46" s="95" t="n"/>
      <c r="AI46" s="95" t="n"/>
      <c r="AJ46" s="95" t="n"/>
      <c r="AK46" s="95" t="n"/>
      <c r="AL46" s="95" t="n"/>
      <c r="AM46" s="95" t="n"/>
      <c r="AN46" s="95" t="n"/>
      <c r="AO46" s="95" t="n"/>
      <c r="AP46" s="95" t="n"/>
      <c r="AQ46" s="73" t="n"/>
      <c r="AR46" s="73" t="n"/>
      <c r="AS46" s="73" t="n"/>
      <c r="AT46" s="73" t="n"/>
      <c r="AU46" s="73" t="n"/>
      <c r="AV46" s="73" t="n"/>
      <c r="AW46" s="73" t="n"/>
      <c r="AX46" s="73" t="n"/>
      <c r="AY46" s="73" t="n"/>
      <c r="AZ46" s="73" t="n"/>
      <c r="BA46" s="73" t="n"/>
      <c r="BB46" s="73" t="n"/>
      <c r="BC46" s="73" t="n"/>
      <c r="BD46" s="73" t="n"/>
      <c r="BE46" s="73" t="n"/>
      <c r="BF46" s="73" t="n"/>
      <c r="BG46" s="73" t="n"/>
      <c r="BH46" s="73" t="n"/>
      <c r="BI46" s="73" t="n"/>
      <c r="BJ46" s="73" t="n"/>
      <c r="BK46" s="73" t="n"/>
      <c r="BL46" s="73" t="n"/>
      <c r="BM46" s="73" t="n"/>
      <c r="BN46" s="73" t="n"/>
      <c r="BO46" s="73" t="n"/>
      <c r="BP46" s="73" t="n"/>
      <c r="BQ46" s="73" t="n"/>
      <c r="BR46" s="73" t="n"/>
      <c r="BS46" s="73" t="n"/>
      <c r="BT46" s="73" t="n"/>
      <c r="BU46" s="73" t="n"/>
      <c r="BV46" s="73" t="n"/>
      <c r="BW46" s="73" t="n"/>
      <c r="BX46" s="73" t="n"/>
    </row>
    <row r="47" s="74">
      <c r="L47" s="95" t="n"/>
      <c r="M47" s="95" t="n"/>
      <c r="N47" s="95" t="n"/>
      <c r="O47" s="95" t="n"/>
      <c r="P47" s="95" t="n"/>
      <c r="Q47" s="95" t="n"/>
      <c r="R47" s="95" t="n"/>
      <c r="S47" s="95" t="n"/>
      <c r="T47" s="95" t="n"/>
      <c r="U47" s="95" t="n"/>
      <c r="V47" s="95" t="n"/>
      <c r="W47" s="95" t="n"/>
      <c r="X47" s="95" t="n"/>
      <c r="Y47" s="95" t="n"/>
      <c r="Z47" s="95" t="n"/>
      <c r="AA47" s="95" t="n"/>
      <c r="AB47" s="95" t="n"/>
      <c r="AC47" s="95" t="n"/>
      <c r="AD47" s="95" t="n"/>
      <c r="AE47" s="95" t="n"/>
      <c r="AF47" s="95" t="n"/>
      <c r="AG47" s="95" t="n"/>
      <c r="AH47" s="95" t="n"/>
      <c r="AI47" s="95" t="n"/>
      <c r="AJ47" s="95" t="n"/>
      <c r="AK47" s="95" t="n"/>
      <c r="AL47" s="95" t="n"/>
      <c r="AM47" s="95" t="n"/>
      <c r="AN47" s="95" t="n"/>
      <c r="AO47" s="95" t="n"/>
      <c r="AP47" s="95" t="n"/>
      <c r="AQ47" s="73" t="n"/>
      <c r="AR47" s="73" t="n"/>
      <c r="AS47" s="73" t="n"/>
      <c r="AT47" s="73" t="n"/>
      <c r="AU47" s="73" t="n"/>
      <c r="AV47" s="73" t="n"/>
      <c r="AW47" s="73" t="n"/>
      <c r="AX47" s="73" t="n"/>
      <c r="AY47" s="73" t="n"/>
      <c r="AZ47" s="73" t="n"/>
      <c r="BA47" s="73" t="n"/>
      <c r="BB47" s="73" t="n"/>
      <c r="BC47" s="73" t="n"/>
      <c r="BD47" s="73" t="n"/>
      <c r="BE47" s="73" t="n"/>
      <c r="BF47" s="73" t="n"/>
      <c r="BG47" s="73" t="n"/>
      <c r="BH47" s="73" t="n"/>
      <c r="BI47" s="73" t="n"/>
      <c r="BJ47" s="73" t="n"/>
      <c r="BK47" s="73" t="n"/>
      <c r="BL47" s="73" t="n"/>
      <c r="BM47" s="73" t="n"/>
      <c r="BN47" s="73" t="n"/>
      <c r="BO47" s="73" t="n"/>
      <c r="BP47" s="73" t="n"/>
      <c r="BQ47" s="73" t="n"/>
      <c r="BR47" s="73" t="n"/>
      <c r="BS47" s="73" t="n"/>
      <c r="BT47" s="73" t="n"/>
      <c r="BU47" s="73" t="n"/>
      <c r="BV47" s="73" t="n"/>
      <c r="BW47" s="73" t="n"/>
      <c r="BX47" s="73" t="n"/>
    </row>
  </sheetData>
  <mergeCells count="34">
    <mergeCell ref="AA3:AD3"/>
    <mergeCell ref="AI3:AL3"/>
    <mergeCell ref="AM3:AP3"/>
    <mergeCell ref="B1:M1"/>
    <mergeCell ref="K3:K5"/>
    <mergeCell ref="AU3:AX3"/>
    <mergeCell ref="F3:J3"/>
    <mergeCell ref="C3:C5"/>
    <mergeCell ref="O3:R3"/>
    <mergeCell ref="J4:J5"/>
    <mergeCell ref="L4:L5"/>
    <mergeCell ref="E3:E5"/>
    <mergeCell ref="AY3:BB3"/>
    <mergeCell ref="BG3:BJ3"/>
    <mergeCell ref="B3:B5"/>
    <mergeCell ref="BS3:BV3"/>
    <mergeCell ref="S3:V3"/>
    <mergeCell ref="G4:G5"/>
    <mergeCell ref="I4:I5"/>
    <mergeCell ref="AE3:AH3"/>
    <mergeCell ref="AQ3:AT3"/>
    <mergeCell ref="B2:N2"/>
    <mergeCell ref="W3:Z3"/>
    <mergeCell ref="M4:M5"/>
    <mergeCell ref="F4:F5"/>
    <mergeCell ref="H4:H5"/>
    <mergeCell ref="A3:A5"/>
    <mergeCell ref="BK3:BN3"/>
    <mergeCell ref="N4:N5"/>
    <mergeCell ref="BC3:BF3"/>
    <mergeCell ref="D3:D5"/>
    <mergeCell ref="BO3:BR3"/>
    <mergeCell ref="BW3:BZ3"/>
    <mergeCell ref="L3:N3"/>
  </mergeCells>
  <conditionalFormatting sqref="O6:BZ39">
    <cfRule type="cellIs" rank="0" priority="2" equalAverage="0" operator="notEqual" aboveAverage="0" dxfId="0" text="" percent="0" bottom="0">
      <formula>""</formula>
    </cfRule>
  </conditionalFormatting>
  <printOptions horizontalCentered="0" verticalCentered="0" headings="0" gridLines="0" gridLinesSet="1"/>
  <pageMargins left="0.196527777777778" right="0.275694444444444" top="0.196527777777778" bottom="0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F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46875" defaultRowHeight="12.75" customHeight="0" zeroHeight="0" outlineLevelRow="0"/>
  <cols>
    <col width="1.13" customWidth="1" style="138" min="1" max="1"/>
    <col width="64.42" customWidth="1" style="138" min="2" max="2"/>
    <col width="1.56" customWidth="1" style="138" min="3" max="3"/>
    <col width="5.56" customWidth="1" style="138" min="4" max="4"/>
    <col width="15.99" customWidth="1" style="138" min="5" max="6"/>
  </cols>
  <sheetData>
    <row r="1" ht="25.5" customHeight="1" s="74">
      <c r="B1" s="139" t="inlineStr">
        <is>
          <t>Отчет о совместимости для Календарный график шаблон с измененной датой.xls</t>
        </is>
      </c>
      <c r="C1" s="139" t="n"/>
      <c r="D1" s="140" t="n"/>
      <c r="E1" s="140" t="n"/>
      <c r="F1" s="140" t="n"/>
    </row>
    <row r="2" ht="12.75" customHeight="1" s="74">
      <c r="B2" s="139" t="inlineStr">
        <is>
          <t>Дата отчета: 01.09.2026 17:11</t>
        </is>
      </c>
      <c r="C2" s="139" t="n"/>
      <c r="D2" s="140" t="n"/>
      <c r="E2" s="140" t="n"/>
      <c r="F2" s="140" t="n"/>
    </row>
    <row r="3" ht="12.75" customHeight="1" s="74">
      <c r="B3" s="141" t="n"/>
      <c r="C3" s="141" t="n"/>
      <c r="D3" s="142" t="n"/>
      <c r="E3" s="142" t="n"/>
      <c r="F3" s="142" t="n"/>
    </row>
    <row r="4" ht="38.25" customHeight="1" s="74">
      <c r="B4" s="141" t="inlineStr">
        <is>
          <t>Если вы сохраните книгу в прежнем формате или откроете в более ранней версии Microsoft Excel, приведенные функции будут недоступны.</t>
        </is>
      </c>
      <c r="C4" s="141" t="n"/>
      <c r="D4" s="142" t="n"/>
      <c r="E4" s="142" t="n"/>
      <c r="F4" s="142" t="n"/>
    </row>
    <row r="5" ht="12.75" customHeight="1" s="74">
      <c r="B5" s="141" t="n"/>
      <c r="C5" s="141" t="n"/>
      <c r="D5" s="142" t="n"/>
      <c r="E5" s="142" t="n"/>
      <c r="F5" s="142" t="n"/>
    </row>
    <row r="6" ht="25.5" customHeight="1" s="74">
      <c r="B6" s="139" t="inlineStr">
        <is>
          <t>Несущественная потеря точности</t>
        </is>
      </c>
      <c r="C6" s="139" t="n"/>
      <c r="D6" s="140" t="n"/>
      <c r="E6" s="140" t="inlineStr">
        <is>
          <t>Число экземпляров</t>
        </is>
      </c>
      <c r="F6" s="140" t="inlineStr">
        <is>
          <t>Версия</t>
        </is>
      </c>
    </row>
    <row r="7" ht="13.5" customHeight="1" s="74">
      <c r="B7" s="141" t="n"/>
      <c r="C7" s="141" t="n"/>
      <c r="D7" s="142" t="n"/>
      <c r="E7" s="142" t="n"/>
      <c r="F7" s="142" t="n"/>
    </row>
    <row r="8" ht="39" customHeight="1" s="74">
      <c r="B8" s="143" t="inlineStr">
        <is>
          <t>Некоторые ячейки или стили в этой книге содержат форматирование, не поддерживаемое выбранным форматом файла. Эти форматы будут преобразованы в наиболее близкий из имеющихся форматов.</t>
        </is>
      </c>
      <c r="C8" s="144" t="n"/>
      <c r="D8" s="145" t="n"/>
      <c r="E8" s="145" t="n">
        <v>3</v>
      </c>
      <c r="F8" s="146" t="inlineStr">
        <is>
          <t>Excel 97–2003</t>
        </is>
      </c>
    </row>
    <row r="9" ht="12.75" customHeight="1" s="74">
      <c r="B9" s="141" t="n"/>
      <c r="C9" s="141" t="n"/>
      <c r="D9" s="142" t="n"/>
      <c r="E9" s="142" t="n"/>
      <c r="F9" s="142" t="n"/>
    </row>
    <row r="10" ht="12.75" customHeight="1" s="74">
      <c r="B10" s="141" t="n"/>
      <c r="C10" s="141" t="n"/>
      <c r="D10" s="142" t="n"/>
      <c r="E10" s="142" t="n"/>
      <c r="F10" s="1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F10"/>
  <sheetViews>
    <sheetView showFormulas="0" showGridLines="0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A1" activeCellId="0" sqref="A1"/>
    </sheetView>
  </sheetViews>
  <sheetFormatPr baseColWidth="8" defaultColWidth="9.046875" defaultRowHeight="12.75" customHeight="0" zeroHeight="0" outlineLevelRow="0"/>
  <cols>
    <col width="1.13" customWidth="1" style="138" min="1" max="1"/>
    <col width="64.42" customWidth="1" style="138" min="2" max="2"/>
    <col width="1.56" customWidth="1" style="138" min="3" max="3"/>
    <col width="5.56" customWidth="1" style="138" min="4" max="4"/>
    <col width="15.99" customWidth="1" style="138" min="5" max="6"/>
  </cols>
  <sheetData>
    <row r="1" ht="25.5" customHeight="1" s="74">
      <c r="B1" s="139" t="inlineStr">
        <is>
          <t>Отчет о совместимости для Календарный график шаблон с измененной датой.xls</t>
        </is>
      </c>
      <c r="C1" s="139" t="n"/>
      <c r="D1" s="140" t="n"/>
      <c r="E1" s="140" t="n"/>
      <c r="F1" s="140" t="n"/>
    </row>
    <row r="2" ht="12.75" customHeight="1" s="74">
      <c r="B2" s="139" t="inlineStr">
        <is>
          <t>Дата отчета: 01.09.2026 17:35</t>
        </is>
      </c>
      <c r="C2" s="139" t="n"/>
      <c r="D2" s="140" t="n"/>
      <c r="E2" s="140" t="n"/>
      <c r="F2" s="140" t="n"/>
    </row>
    <row r="3" ht="12.75" customHeight="1" s="74">
      <c r="B3" s="141" t="n"/>
      <c r="C3" s="141" t="n"/>
      <c r="D3" s="142" t="n"/>
      <c r="E3" s="142" t="n"/>
      <c r="F3" s="142" t="n"/>
    </row>
    <row r="4" ht="38.25" customHeight="1" s="74">
      <c r="B4" s="141" t="inlineStr">
        <is>
          <t>Если вы сохраните книгу в прежнем формате или откроете в более ранней версии Microsoft Excel, приведенные функции будут недоступны.</t>
        </is>
      </c>
      <c r="C4" s="141" t="n"/>
      <c r="D4" s="142" t="n"/>
      <c r="E4" s="142" t="n"/>
      <c r="F4" s="142" t="n"/>
    </row>
    <row r="5" ht="12.75" customHeight="1" s="74">
      <c r="B5" s="141" t="n"/>
      <c r="C5" s="141" t="n"/>
      <c r="D5" s="142" t="n"/>
      <c r="E5" s="142" t="n"/>
      <c r="F5" s="142" t="n"/>
    </row>
    <row r="6" ht="25.5" customHeight="1" s="74">
      <c r="B6" s="139" t="inlineStr">
        <is>
          <t>Несущественная потеря точности</t>
        </is>
      </c>
      <c r="C6" s="139" t="n"/>
      <c r="D6" s="140" t="n"/>
      <c r="E6" s="140" t="inlineStr">
        <is>
          <t>Число экземпляров</t>
        </is>
      </c>
      <c r="F6" s="140" t="inlineStr">
        <is>
          <t>Версия</t>
        </is>
      </c>
    </row>
    <row r="7" ht="13.5" customHeight="1" s="74">
      <c r="B7" s="141" t="n"/>
      <c r="C7" s="141" t="n"/>
      <c r="D7" s="142" t="n"/>
      <c r="E7" s="142" t="n"/>
      <c r="F7" s="142" t="n"/>
    </row>
    <row r="8" ht="39" customHeight="1" s="74">
      <c r="B8" s="143" t="inlineStr">
        <is>
          <t>Некоторые ячейки или стили в этой книге содержат форматирование, не поддерживаемое выбранным форматом файла. Эти форматы будут преобразованы в наиболее близкий из имеющихся форматов.</t>
        </is>
      </c>
      <c r="C8" s="144" t="n"/>
      <c r="D8" s="145" t="n"/>
      <c r="E8" s="145" t="n">
        <v>3</v>
      </c>
      <c r="F8" s="146" t="inlineStr">
        <is>
          <t>Excel 97–2003</t>
        </is>
      </c>
    </row>
    <row r="9" ht="12.75" customHeight="1" s="74">
      <c r="B9" s="141" t="n"/>
      <c r="C9" s="141" t="n"/>
      <c r="D9" s="142" t="n"/>
      <c r="E9" s="142" t="n"/>
      <c r="F9" s="142" t="n"/>
    </row>
    <row r="10" ht="12.75" customHeight="1" s="74">
      <c r="B10" s="141" t="n"/>
      <c r="C10" s="141" t="n"/>
      <c r="D10" s="142" t="n"/>
      <c r="E10" s="142" t="n"/>
      <c r="F10" s="1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JT</dc:creator>
  <dc:language xmlns:dc="http://purl.org/dc/elements/1.1/">ru-RU</dc:language>
  <dcterms:created xmlns:dcterms="http://purl.org/dc/terms/" xmlns:xsi="http://www.w3.org/2001/XMLSchema-instance" xsi:type="dcterms:W3CDTF">2010-05-04T09:34:50Z</dcterms:created>
  <dcterms:modified xmlns:dcterms="http://purl.org/dc/terms/" xmlns:xsi="http://www.w3.org/2001/XMLSchema-instance" xsi:type="dcterms:W3CDTF">2026-10-02T11:33:02Z</dcterms:modified>
  <cp:lastModifiedBy>Admin</cp:lastModifiedBy>
  <cp:revision>0</cp:revision>
  <cp:lastPrinted>2026-09-15T13:04:56Z</cp:lastPrinted>
</cp:coreProperties>
</file>